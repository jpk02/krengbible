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quarterly cash flow for page 2.  One column per quarter, oldest on the left.  Role: Revenue, Expense or Debt service.</t>
        </is>
      </c>
    </row>
    <row r="30">
      <c r="A30" t="inlineStr">
        <is>
          <t xml:space="preserve">               Enter expenses and debt service as positive numbers.  The black "Calculated" rows do the math: Total O&amp;M costs = all Expense</t>
        </is>
      </c>
    </row>
    <row r="31">
      <c r="A31" t="inlineStr">
        <is>
          <t xml:space="preserve">               rows; CFADS = Revenue - Total O&amp;M costs; Total debt service costs = all Debt service rows; DSCR = CFADS / debt service;</t>
        </is>
      </c>
    </row>
    <row r="32">
      <c r="A32" t="inlineStr">
        <is>
          <t xml:space="preserve">               DSCR - LTM = last 4 quarters of CFADS / last 4 quarters of debt service.  To add a line (e.g. LC fees), insert a row</t>
        </is>
      </c>
    </row>
    <row r="33">
      <c r="A33" t="inlineStr">
        <is>
          <t xml:space="preserve">               anywhere and set its Role; the totals pick it up.  The PDF recalculates from the input rows, so it always matches.</t>
        </is>
      </c>
    </row>
    <row r="34">
      <c r="A34" t="inlineStr">
        <is>
          <t xml:space="preserve">Reserves  -  one row per reserve account (DSR, O&amp;M reserve, ...): Required balance and Balance available.  Shown on page 2 below the DSCR chart</t>
        </is>
      </c>
    </row>
    <row r="35">
      <c r="A35" t="inlineStr">
        <is>
          <t xml:space="preserve">               with the % funded; anything under 100% is flagged.</t>
        </is>
      </c>
    </row>
    <row r="36">
      <c r="A36" t="inlineStr">
        <is>
          <t xml:space="preserve">DSCR Notes  -  optional Heading + Text pairs shown on page 2 below the reserves.</t>
        </is>
      </c>
    </row>
    <row r="37"/>
    <row r="38">
      <c r="A38" s="6" t="inlineStr">
        <is>
          <t xml:space="preserve">Tips</t>
        </is>
      </c>
    </row>
    <row r="39">
      <c r="A39" t="inlineStr">
        <is>
          <t xml:space="preserve">-  Do not rename the tabs or the column headers in row 1.  You can add, delete or reorder rows freely.</t>
        </is>
      </c>
    </row>
    <row r="40">
      <c r="A40" t="inlineStr">
        <is>
          <t xml:space="preserve">-  Copy this workbook for each asset (one workbook = one dashboard).</t>
        </is>
      </c>
    </row>
    <row r="41">
      <c r="A41" t="inlineStr">
        <is>
          <t xml:space="preserve">-  The Chart dropdowns list the names on the Charts tab automatically (from a hidden "Lists" tab).  Add a chart there and it appears in the dropdowns.</t>
        </is>
      </c>
    </row>
    <row r="42">
      <c r="A42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5.31</v>
      </c>
      <c r="D2" s="10">
        <v>5.62</v>
      </c>
      <c r="E2" s="10">
        <v>10.04</v>
      </c>
      <c r="F2" s="10">
        <v>10.52</v>
      </c>
      <c r="G2" s="10">
        <v>5.93</v>
      </c>
      <c r="H2" s="10">
        <v>6.08</v>
      </c>
      <c r="I2" s="10">
        <v>10.61</v>
      </c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1.92</v>
      </c>
      <c r="D4" s="10">
        <v>2.01</v>
      </c>
      <c r="E4" s="10">
        <v>2.08</v>
      </c>
      <c r="F4" s="10">
        <v>2.17</v>
      </c>
      <c r="G4" s="10">
        <v>2.03</v>
      </c>
      <c r="H4" s="10">
        <v>2.11</v>
      </c>
      <c r="I4" s="10">
        <v>2.19</v>
      </c>
    </row>
    <row r="5">
      <c r="A5" s="8" t="inlineStr">
        <is>
          <t xml:space="preserve">Property taxes</t>
        </is>
      </c>
      <c r="B5" s="8" t="inlineStr">
        <is>
          <t xml:space="preserve">Expense</t>
        </is>
      </c>
      <c r="C5" s="10">
        <v>0.4</v>
      </c>
      <c r="D5" s="10">
        <v>0.4</v>
      </c>
      <c r="E5" s="10">
        <v>0.4</v>
      </c>
      <c r="F5" s="10">
        <v>0.4</v>
      </c>
      <c r="G5" s="10">
        <v>0.42</v>
      </c>
      <c r="H5" s="10">
        <v>0.45</v>
      </c>
      <c r="I5" s="10">
        <v>0.45</v>
      </c>
    </row>
    <row r="6">
      <c r="A6" s="8" t="inlineStr">
        <is>
          <t xml:space="preserve">Other taxes</t>
        </is>
      </c>
      <c r="B6" s="8" t="inlineStr">
        <is>
          <t xml:space="preserve">Expense</t>
        </is>
      </c>
      <c r="C6" s="10">
        <v>0.11</v>
      </c>
      <c r="D6" s="10">
        <v>0.09</v>
      </c>
      <c r="E6" s="10">
        <v>0.18</v>
      </c>
      <c r="F6" s="10">
        <v>0.21</v>
      </c>
      <c r="G6" s="10">
        <v>0.1</v>
      </c>
      <c r="H6" s="10">
        <v>0.08</v>
      </c>
      <c r="I6" s="10">
        <v>0.19</v>
      </c>
    </row>
    <row r="7">
      <c r="A7" s="6" t="inlineStr">
        <is>
          <t xml:space="preserve">Total O&amp;M costs</t>
        </is>
      </c>
      <c r="B7" s="2" t="inlineStr">
        <is>
          <t xml:space="preserve">Calculated</t>
        </is>
      </c>
      <c r="C7" s="15">
        <f>SUMIF($B$2:$B$200,"Expense",C$2:C$200)</f>
        <v>2.43</v>
      </c>
      <c r="D7" s="15">
        <f>SUMIF($B$2:$B$200,"Expense",D$2:D$200)</f>
        <v>2.5</v>
      </c>
      <c r="E7" s="15">
        <f>SUMIF($B$2:$B$200,"Expense",E$2:E$200)</f>
        <v>2.66</v>
      </c>
      <c r="F7" s="15">
        <f>SUMIF($B$2:$B$200,"Expense",F$2:F$200)</f>
        <v>2.78</v>
      </c>
      <c r="G7" s="15">
        <f>SUMIF($B$2:$B$200,"Expense",G$2:G$200)</f>
        <v>2.55</v>
      </c>
      <c r="H7" s="15">
        <f>SUMIF($B$2:$B$200,"Expense",H$2:H$200)</f>
        <v>2.64</v>
      </c>
      <c r="I7" s="15">
        <f>SUMIF($B$2:$B$200,"Expense",I$2:I$200)</f>
        <v>2.83</v>
      </c>
    </row>
    <row r="8">
      <c r="A8" s="6" t="inlineStr">
        <is>
          <t xml:space="preserve">CFADS</t>
        </is>
      </c>
      <c r="B8" s="2" t="inlineStr">
        <is>
          <t xml:space="preserve">Calculated</t>
        </is>
      </c>
      <c r="C8" s="15">
        <f>SUMIF($B$2:$B$200,"Revenue",C$2:C$200)-SUMIF($B$2:$B$200,"Expense",C$2:C$200)</f>
        <v>2.88</v>
      </c>
      <c r="D8" s="15">
        <f>SUMIF($B$2:$B$200,"Revenue",D$2:D$200)-SUMIF($B$2:$B$200,"Expense",D$2:D$200)</f>
        <v>3.12</v>
      </c>
      <c r="E8" s="15">
        <f>SUMIF($B$2:$B$200,"Revenue",E$2:E$200)-SUMIF($B$2:$B$200,"Expense",E$2:E$200)</f>
        <v>7.38</v>
      </c>
      <c r="F8" s="15">
        <f>SUMIF($B$2:$B$200,"Revenue",F$2:F$200)-SUMIF($B$2:$B$200,"Expense",F$2:F$200)</f>
        <v>7.74</v>
      </c>
      <c r="G8" s="15">
        <f>SUMIF($B$2:$B$200,"Revenue",G$2:G$200)-SUMIF($B$2:$B$200,"Expense",G$2:G$200)</f>
        <v>3.38</v>
      </c>
      <c r="H8" s="15">
        <f>SUMIF($B$2:$B$200,"Revenue",H$2:H$200)-SUMIF($B$2:$B$200,"Expense",H$2:H$200)</f>
        <v>3.44</v>
      </c>
      <c r="I8" s="15">
        <f>SUMIF($B$2:$B$200,"Revenue",I$2:I$200)-SUMIF($B$2:$B$200,"Expense",I$2:I$200)</f>
        <v>7.78</v>
      </c>
    </row>
    <row r="9"/>
    <row r="10">
      <c r="A10" s="8" t="inlineStr">
        <is>
          <t xml:space="preserve">Principal</t>
        </is>
      </c>
      <c r="B10" s="8" t="inlineStr">
        <is>
          <t xml:space="preserve">Debt service</t>
        </is>
      </c>
      <c r="C10" s="10">
        <v>2.4</v>
      </c>
      <c r="D10" s="10">
        <v>2.42</v>
      </c>
      <c r="E10" s="10">
        <v>2.48</v>
      </c>
      <c r="F10" s="10">
        <v>2.51</v>
      </c>
      <c r="G10" s="10">
        <v>2.57</v>
      </c>
      <c r="H10" s="10">
        <v>2.62</v>
      </c>
      <c r="I10" s="10">
        <v>2.68</v>
      </c>
    </row>
    <row r="11">
      <c r="A11" s="8" t="inlineStr">
        <is>
          <t xml:space="preserve">Interest</t>
        </is>
      </c>
      <c r="B11" s="8" t="inlineStr">
        <is>
          <t xml:space="preserve">Debt service</t>
        </is>
      </c>
      <c r="C11" s="10">
        <v>1.91</v>
      </c>
      <c r="D11" s="10">
        <v>1.86</v>
      </c>
      <c r="E11" s="10">
        <v>1.81</v>
      </c>
      <c r="F11" s="10">
        <v>1.76</v>
      </c>
      <c r="G11" s="10">
        <v>1.7</v>
      </c>
      <c r="H11" s="10">
        <v>1.65</v>
      </c>
      <c r="I11" s="10">
        <v>1.6</v>
      </c>
    </row>
    <row r="12">
      <c r="A12" s="6" t="inlineStr">
        <is>
          <t xml:space="preserve">Total debt service costs</t>
        </is>
      </c>
      <c r="B12" s="2" t="inlineStr">
        <is>
          <t xml:space="preserve">Calculated</t>
        </is>
      </c>
      <c r="C12" s="15">
        <f>SUMIF($B$2:$B$200,"Debt service",C$2:C$200)</f>
        <v>4.31</v>
      </c>
      <c r="D12" s="15">
        <f>SUMIF($B$2:$B$200,"Debt service",D$2:D$200)</f>
        <v>4.28</v>
      </c>
      <c r="E12" s="15">
        <f>SUMIF($B$2:$B$200,"Debt service",E$2:E$200)</f>
        <v>4.29</v>
      </c>
      <c r="F12" s="15">
        <f>SUMIF($B$2:$B$200,"Debt service",F$2:F$200)</f>
        <v>4.27</v>
      </c>
      <c r="G12" s="15">
        <f>SUMIF($B$2:$B$200,"Debt service",G$2:G$200)</f>
        <v>4.27</v>
      </c>
      <c r="H12" s="15">
        <f>SUMIF($B$2:$B$200,"Debt service",H$2:H$200)</f>
        <v>4.27</v>
      </c>
      <c r="I12" s="15">
        <f>SUMIF($B$2:$B$200,"Debt service",I$2:I$200)</f>
        <v>4.28</v>
      </c>
    </row>
    <row r="13"/>
    <row r="14">
      <c r="A14" s="6" t="inlineStr">
        <is>
          <t xml:space="preserve">DSCR - quarter</t>
        </is>
      </c>
      <c r="B14" s="2" t="inlineStr">
        <is>
          <t xml:space="preserve">Calculated</t>
        </is>
      </c>
      <c r="C14" s="16">
        <f>IFERROR(C8/C12,"")</f>
        <v>0.668213</v>
      </c>
      <c r="D14" s="16">
        <f>IFERROR(D8/D12,"")</f>
        <v>0.728972</v>
      </c>
      <c r="E14" s="16">
        <f>IFERROR(E8/E12,"")</f>
        <v>1.72028</v>
      </c>
      <c r="F14" s="16">
        <f>IFERROR(F8/F12,"")</f>
        <v>1.812646</v>
      </c>
      <c r="G14" s="16">
        <f>IFERROR(G8/G12,"")</f>
        <v>0.791569</v>
      </c>
      <c r="H14" s="16">
        <f>IFERROR(H8/H12,"")</f>
        <v>0.805621</v>
      </c>
      <c r="I14" s="16">
        <f>IFERROR(I8/I12,"")</f>
        <v>1.817757</v>
      </c>
    </row>
    <row r="15">
      <c r="A15" s="6" t="inlineStr">
        <is>
          <t xml:space="preserve">DSCR - LTM</t>
        </is>
      </c>
      <c r="B15" s="2" t="inlineStr">
        <is>
          <t xml:space="preserve">Calculated</t>
        </is>
      </c>
      <c r="C15" s="16" t="str">
        <f>""</f>
        <v/>
      </c>
      <c r="D15" s="16" t="str">
        <f>""</f>
        <v/>
      </c>
      <c r="E15" s="16" t="str">
        <f>""</f>
        <v/>
      </c>
      <c r="F15" s="16">
        <f>IFERROR(SUM(C8:F8)/SUM(C12:F12),"")</f>
        <v>1.231487</v>
      </c>
      <c r="G15" s="16">
        <f>IFERROR(SUM(D8:G8)/SUM(D12:G12),"")</f>
        <v>1.263589</v>
      </c>
      <c r="H15" s="16">
        <f>IFERROR(SUM(E8:H8)/SUM(E12:H12),"")</f>
        <v>1.283041</v>
      </c>
      <c r="I15" s="16">
        <f>IFERROR(SUM(F8:I8)/SUM(F12:I12),"")</f>
        <v>1.307197</v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