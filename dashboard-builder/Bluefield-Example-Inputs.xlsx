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10">
        <v>1.62</v>
      </c>
      <c r="F4" s="10">
        <v>1.84</v>
      </c>
      <c r="G4" s="10">
        <v>2.57</v>
      </c>
      <c r="H4" s="10">
        <v>3.03</v>
      </c>
      <c r="I4" s="10">
        <v>3.41</v>
      </c>
      <c r="J4" s="10">
        <v>4.12</v>
      </c>
      <c r="K4" s="10">
        <v>3.46</v>
      </c>
      <c r="L4" s="10">
        <v>3.92</v>
      </c>
      <c r="M4" s="10"/>
      <c r="N4" s="10"/>
      <c r="O4" s="10"/>
      <c r="P4" s="10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10">
        <v>-0.41</v>
      </c>
      <c r="F6" s="10">
        <v>0.12</v>
      </c>
      <c r="G6" s="10">
        <v>0.88</v>
      </c>
      <c r="H6" s="10">
        <v>1.31</v>
      </c>
      <c r="I6" s="10">
        <v>1.69</v>
      </c>
      <c r="J6" s="10">
        <v>2.27</v>
      </c>
      <c r="K6" s="10">
        <v>1.66</v>
      </c>
      <c r="L6" s="10">
        <v>2.07</v>
      </c>
      <c r="M6" s="10"/>
      <c r="N6" s="10"/>
      <c r="O6" s="10"/>
      <c r="P6" s="10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IF(COUNT(C2:C3,C4:C5,C9:C10)=0,"",SUM(C4:C5))</f>
        <v>2.33</v>
      </c>
      <c r="D6" s="15">
        <f>IF(COUNT(D2:D3,D4:D5,D9:D10)=0,"",SUM(D4:D5))</f>
        <v>2.5</v>
      </c>
      <c r="E6" s="15">
        <f>IF(COUNT(E2:E3,E4:E5,E9:E10)=0,"",SUM(E4:E5))</f>
        <v>2.63</v>
      </c>
      <c r="F6" s="15">
        <f>IF(COUNT(F2:F3,F4:F5,F9:F10)=0,"",SUM(F4:F5))</f>
        <v>2.43</v>
      </c>
      <c r="G6" s="15">
        <f>IF(COUNT(G2:G3,G4:G5,G9:G10)=0,"",SUM(G4:G5))</f>
        <v>2.5</v>
      </c>
      <c r="H6" s="15">
        <f>IF(COUNT(H2:H3,H4:H5,H9:H10)=0,"",SUM(H4:H5))</f>
        <v>2.66</v>
      </c>
      <c r="I6" s="15">
        <f>IF(COUNT(I2:I3,I4:I5,I9:I10)=0,"",SUM(I4:I5))</f>
        <v>2.78</v>
      </c>
      <c r="J6" s="15">
        <f>IF(COUNT(J2:J3,J4:J5,J9:J10)=0,"",SUM(J4:J5))</f>
        <v>2.55</v>
      </c>
      <c r="K6" s="15">
        <f>IF(COUNT(K2:K3,K4:K5,K9:K10)=0,"",SUM(K4:K5))</f>
        <v>2.64</v>
      </c>
      <c r="L6" s="15">
        <f>IF(COUNT(L2:L3,L4:L5,L9:L10)=0,"",SUM(L4:L5))</f>
        <v>2.83</v>
      </c>
      <c r="M6" s="15">
        <f>IF(COUNT(M2:M3,M4:M5,M9:M10)=0,"",SUM(M4:M5))</f>
        <v>2.91</v>
      </c>
      <c r="N6" s="15" t="str">
        <f>IF(COUNT(N2:N3,N4:N5,N9:N10)=0,"",SUM(N4:N5))</f>
        <v/>
      </c>
      <c r="O6" s="15" t="str">
        <f>IF(COUNT(O2:O3,O4:O5,O9:O10)=0,"",SUM(O4:O5))</f>
        <v/>
      </c>
      <c r="P6" s="15" t="str">
        <f>IF(COUNT(P2:P3,P4:P5,P9:P10)=0,"",SUM(P4:P5))</f>
        <v/>
      </c>
      <c r="Q6" s="15" t="str">
        <f>IF(COUNT(Q2:Q3,Q4:Q5,Q9:Q10)=0,"",SUM(Q4:Q5))</f>
        <v/>
      </c>
      <c r="R6" s="15" t="str">
        <f>IF(COUNT(R2:R3,R4:R5,R9:R10)=0,"",SUM(R4:R5))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IF(COUNT(C2:C3,C4:C5,C9:C10)=0,"",SUM(C2:C3)-C6)</f>
        <v>3.09</v>
      </c>
      <c r="D7" s="15">
        <f>IF(COUNT(D2:D3,D4:D5,D9:D10)=0,"",SUM(D2:D3)-D6)</f>
        <v>7.28</v>
      </c>
      <c r="E7" s="15">
        <f>IF(COUNT(E2:E3,E4:E5,E9:E10)=0,"",SUM(E2:E3)-E6)</f>
        <v>7.58</v>
      </c>
      <c r="F7" s="15">
        <f>IF(COUNT(F2:F3,F4:F5,F9:F10)=0,"",SUM(F2:F3)-F6)</f>
        <v>2.88</v>
      </c>
      <c r="G7" s="15">
        <f>IF(COUNT(G2:G3,G4:G5,G9:G10)=0,"",SUM(G2:G3)-G6)</f>
        <v>3.12</v>
      </c>
      <c r="H7" s="15">
        <f>IF(COUNT(H2:H3,H4:H5,H9:H10)=0,"",SUM(H2:H3)-H6)</f>
        <v>7.38</v>
      </c>
      <c r="I7" s="15">
        <f>IF(COUNT(I2:I3,I4:I5,I9:I10)=0,"",SUM(I2:I3)-I6)</f>
        <v>7.74</v>
      </c>
      <c r="J7" s="15">
        <f>IF(COUNT(J2:J3,J4:J5,J9:J10)=0,"",SUM(J2:J3)-J6)</f>
        <v>3.38</v>
      </c>
      <c r="K7" s="15">
        <f>IF(COUNT(K2:K3,K4:K5,K9:K10)=0,"",SUM(K2:K3)-K6)</f>
        <v>3.44</v>
      </c>
      <c r="L7" s="15">
        <f>IF(COUNT(L2:L3,L4:L5,L9:L10)=0,"",SUM(L2:L3)-L6)</f>
        <v>7.78</v>
      </c>
      <c r="M7" s="15">
        <f>IF(COUNT(M2:M3,M4:M5,M9:M10)=0,"",SUM(M2:M3)-M6)</f>
        <v>8.03</v>
      </c>
      <c r="N7" s="15" t="str">
        <f>IF(COUNT(N2:N3,N4:N5,N9:N10)=0,"",SUM(N2:N3)-N6)</f>
        <v/>
      </c>
      <c r="O7" s="15" t="str">
        <f>IF(COUNT(O2:O3,O4:O5,O9:O10)=0,"",SUM(O2:O3)-O6)</f>
        <v/>
      </c>
      <c r="P7" s="15" t="str">
        <f>IF(COUNT(P2:P3,P4:P5,P9:P10)=0,"",SUM(P2:P3)-P6)</f>
        <v/>
      </c>
      <c r="Q7" s="15" t="str">
        <f>IF(COUNT(Q2:Q3,Q4:Q5,Q9:Q10)=0,"",SUM(Q2:Q3)-Q6)</f>
        <v/>
      </c>
      <c r="R7" s="15" t="str">
        <f>IF(COUNT(R2:R3,R4:R5,R9:R10)=0,"",SUM(R2:R3)-R6)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6" t="inlineStr">
        <is>
          <t xml:space="preserve">Total debt service costs</t>
        </is>
      </c>
      <c r="B11" s="2" t="inlineStr">
        <is>
          <t xml:space="preserve">Calculated</t>
        </is>
      </c>
      <c r="C11" s="15">
        <f>IF(COUNT(C2:C3,C4:C5,C9:C10)=0,"",SUM(C9:C10))</f>
        <v>4.35</v>
      </c>
      <c r="D11" s="15">
        <f>IF(COUNT(D2:D3,D4:D5,D9:D10)=0,"",SUM(D9:D10))</f>
        <v>4.33</v>
      </c>
      <c r="E11" s="15">
        <f>IF(COUNT(E2:E3,E4:E5,E9:E10)=0,"",SUM(E9:E10))</f>
        <v>4.32</v>
      </c>
      <c r="F11" s="15">
        <f>IF(COUNT(F2:F3,F4:F5,F9:F10)=0,"",SUM(F9:F10))</f>
        <v>4.31</v>
      </c>
      <c r="G11" s="15">
        <f>IF(COUNT(G2:G3,G4:G5,G9:G10)=0,"",SUM(G9:G10))</f>
        <v>4.28</v>
      </c>
      <c r="H11" s="15">
        <f>IF(COUNT(H2:H3,H4:H5,H9:H10)=0,"",SUM(H9:H10))</f>
        <v>4.29</v>
      </c>
      <c r="I11" s="15">
        <f>IF(COUNT(I2:I3,I4:I5,I9:I10)=0,"",SUM(I9:I10))</f>
        <v>4.27</v>
      </c>
      <c r="J11" s="15">
        <f>IF(COUNT(J2:J3,J4:J5,J9:J10)=0,"",SUM(J9:J10))</f>
        <v>4.27</v>
      </c>
      <c r="K11" s="15">
        <f>IF(COUNT(K2:K3,K4:K5,K9:K10)=0,"",SUM(K9:K10))</f>
        <v>4.27</v>
      </c>
      <c r="L11" s="15">
        <f>IF(COUNT(L2:L3,L4:L5,L9:L10)=0,"",SUM(L9:L10))</f>
        <v>4.28</v>
      </c>
      <c r="M11" s="15">
        <f>IF(COUNT(M2:M3,M4:M5,M9:M10)=0,"",SUM(M9:M10))</f>
        <v>4.29</v>
      </c>
      <c r="N11" s="15" t="str">
        <f>IF(COUNT(N2:N3,N4:N5,N9:N10)=0,"",SUM(N9:N10))</f>
        <v/>
      </c>
      <c r="O11" s="15" t="str">
        <f>IF(COUNT(O2:O3,O4:O5,O9:O10)=0,"",SUM(O9:O10))</f>
        <v/>
      </c>
      <c r="P11" s="15" t="str">
        <f>IF(COUNT(P2:P3,P4:P5,P9:P10)=0,"",SUM(P9:P10))</f>
        <v/>
      </c>
      <c r="Q11" s="15" t="str">
        <f>IF(COUNT(Q2:Q3,Q4:Q5,Q9:Q10)=0,"",SUM(Q9:Q10))</f>
        <v/>
      </c>
      <c r="R11" s="15" t="str">
        <f>IF(COUNT(R2:R3,R4:R5,R9:R10)=0,"",SUM(R9:R10))</f>
        <v/>
      </c>
    </row>
    <row r="12"/>
    <row r="13">
      <c r="A13" s="6" t="inlineStr">
        <is>
          <t xml:space="preserve">DSCR - quarter</t>
        </is>
      </c>
      <c r="B13" s="2" t="inlineStr">
        <is>
          <t xml:space="preserve">Calculated</t>
        </is>
      </c>
      <c r="C13" s="16">
        <f>IFERROR(C7/C11,"")</f>
        <v>0.710345</v>
      </c>
      <c r="D13" s="16">
        <f>IFERROR(D7/D11,"")</f>
        <v>1.681293</v>
      </c>
      <c r="E13" s="16">
        <f>IFERROR(E7/E11,"")</f>
        <v>1.75463</v>
      </c>
      <c r="F13" s="16">
        <f>IFERROR(F7/F11,"")</f>
        <v>0.668213</v>
      </c>
      <c r="G13" s="16">
        <f>IFERROR(G7/G11,"")</f>
        <v>0.728972</v>
      </c>
      <c r="H13" s="16">
        <f>IFERROR(H7/H11,"")</f>
        <v>1.72028</v>
      </c>
      <c r="I13" s="16">
        <f>IFERROR(I7/I11,"")</f>
        <v>1.812646</v>
      </c>
      <c r="J13" s="16">
        <f>IFERROR(J7/J11,"")</f>
        <v>0.791569</v>
      </c>
      <c r="K13" s="16">
        <f>IFERROR(K7/K11,"")</f>
        <v>0.805621</v>
      </c>
      <c r="L13" s="16">
        <f>IFERROR(L7/L11,"")</f>
        <v>1.817757</v>
      </c>
      <c r="M13" s="16">
        <f>IFERROR(M7/M11,"")</f>
        <v>1.871795</v>
      </c>
      <c r="N13" s="16" t="str">
        <f>IFERROR(N7/N11,"")</f>
        <v/>
      </c>
      <c r="O13" s="16" t="str">
        <f>IFERROR(O7/O11,"")</f>
        <v/>
      </c>
      <c r="P13" s="16" t="str">
        <f>IFERROR(P7/P11,"")</f>
        <v/>
      </c>
      <c r="Q13" s="16" t="str">
        <f>IFERROR(Q7/Q11,"")</f>
        <v/>
      </c>
      <c r="R13" s="16" t="str">
        <f>IFERROR(R7/R11,"")</f>
        <v/>
      </c>
    </row>
    <row r="14">
      <c r="A14" s="6" t="inlineStr">
        <is>
          <t xml:space="preserve">DSCR - LTM</t>
        </is>
      </c>
      <c r="B14" s="2" t="inlineStr">
        <is>
          <t xml:space="preserve">Calculated</t>
        </is>
      </c>
      <c r="C14" s="16" t="str">
        <f>""</f>
        <v/>
      </c>
      <c r="D14" s="16" t="str">
        <f>""</f>
        <v/>
      </c>
      <c r="E14" s="16" t="str">
        <f>""</f>
        <v/>
      </c>
      <c r="F14" s="16">
        <f>IF(COUNT(C7:F7)&lt;4,"",IFERROR(SUM(C7:F7)/SUM(C11:F11),""))</f>
        <v>1.203351</v>
      </c>
      <c r="G14" s="16">
        <f>IF(COUNT(D7:G7)&lt;4,"",IFERROR(SUM(D7:G7)/SUM(D11:G11),""))</f>
        <v>1.209977</v>
      </c>
      <c r="H14" s="16">
        <f>IF(COUNT(E7:H7)&lt;4,"",IFERROR(SUM(E7:H7)/SUM(E11:H11),""))</f>
        <v>1.218605</v>
      </c>
      <c r="I14" s="16">
        <f>IF(COUNT(F7:I7)&lt;4,"",IFERROR(SUM(F7:I7)/SUM(F11:I11),""))</f>
        <v>1.231487</v>
      </c>
      <c r="J14" s="16">
        <f>IF(COUNT(G7:J7)&lt;4,"",IFERROR(SUM(G7:J7)/SUM(G11:J11),""))</f>
        <v>1.263589</v>
      </c>
      <c r="K14" s="16">
        <f>IF(COUNT(H7:K7)&lt;4,"",IFERROR(SUM(H7:K7)/SUM(H11:K11),""))</f>
        <v>1.283041</v>
      </c>
      <c r="L14" s="16">
        <f>IF(COUNT(I7:L7)&lt;4,"",IFERROR(SUM(I7:L7)/SUM(I11:L11),""))</f>
        <v>1.307197</v>
      </c>
      <c r="M14" s="16">
        <f>IF(COUNT(J7:M7)&lt;4,"",IFERROR(SUM(J7:M7)/SUM(J11:M11),""))</f>
        <v>1.322618</v>
      </c>
      <c r="N14" s="16" t="str">
        <f>IF(COUNT(K7:N7)&lt;4,"",IFERROR(SUM(K7:N7)/SUM(K11:N11),""))</f>
        <v/>
      </c>
      <c r="O14" s="16" t="str">
        <f>IF(COUNT(L7:O7)&lt;4,"",IFERROR(SUM(L7:O7)/SUM(L11:O11),""))</f>
        <v/>
      </c>
      <c r="P14" s="16" t="str">
        <f>IF(COUNT(M7:P7)&lt;4,"",IFERROR(SUM(M7:P7)/SUM(M11:P11),""))</f>
        <v/>
      </c>
      <c r="Q14" s="16" t="str">
        <f>IF(COUNT(N7:Q7)&lt;4,"",IFERROR(SUM(N7:Q7)/SUM(N11:Q11),""))</f>
        <v/>
      </c>
      <c r="R14" s="16" t="str">
        <f>IF(COUNT(O7:R7)&lt;4,"",IFERROR(SUM(O7:R7)/SUM(O11:R11),""))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