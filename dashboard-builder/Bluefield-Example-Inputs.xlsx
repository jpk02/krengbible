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1</v>
      </c>
      <c r="C32" s="2" t="inlineStr">
        <is>
          <t xml:space="preserve">Decimals in the page 2 cash flow table and reserves (default 1).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  <c r="O2" s="8" t="inlineStr">
        <is>
          <t xml:space="preserve">Monthly</t>
        </is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  <c r="O3" s="8" t="inlineStr">
        <is>
          <t xml:space="preserve">Monthly</t>
        </is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  <c r="O4" s="8" t="inlineStr">
        <is>
          <t xml:space="preserve">Pro-rated annual</t>
        </is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  <c r="O5" s="8" t="inlineStr">
        <is>
          <t xml:space="preserve">Monthly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5.42</v>
      </c>
      <c r="D2" s="10">
        <v>9.78</v>
      </c>
      <c r="E2" s="10">
        <v>10.21</v>
      </c>
      <c r="F2" s="10">
        <v>5.31</v>
      </c>
      <c r="G2" s="10">
        <v>5.62</v>
      </c>
      <c r="H2" s="10">
        <v>10.04</v>
      </c>
      <c r="I2" s="10">
        <v>10.52</v>
      </c>
      <c r="J2" s="10">
        <v>5.93</v>
      </c>
      <c r="K2" s="10">
        <v>6.08</v>
      </c>
      <c r="L2" s="10">
        <v>10.61</v>
      </c>
      <c r="M2" s="10">
        <v>10.94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1.85</v>
      </c>
      <c r="D4" s="10">
        <v>1.95</v>
      </c>
      <c r="E4" s="10">
        <v>2.05</v>
      </c>
      <c r="F4" s="10">
        <v>1.92</v>
      </c>
      <c r="G4" s="10">
        <v>2.01</v>
      </c>
      <c r="H4" s="10">
        <v>2.08</v>
      </c>
      <c r="I4" s="10">
        <v>2.17</v>
      </c>
      <c r="J4" s="10">
        <v>2.03</v>
      </c>
      <c r="K4" s="10">
        <v>2.11</v>
      </c>
      <c r="L4" s="10">
        <v>2.19</v>
      </c>
      <c r="M4" s="10">
        <v>2.24</v>
      </c>
      <c r="N4" s="10"/>
      <c r="O4" s="10"/>
      <c r="P4" s="10"/>
      <c r="Q4" s="10"/>
      <c r="R4" s="10"/>
    </row>
    <row r="5">
      <c r="A5" s="8" t="inlineStr">
        <is>
          <t xml:space="preserve">Property and Other Expenses</t>
        </is>
      </c>
      <c r="B5" s="8" t="inlineStr">
        <is>
          <t xml:space="preserve">Expense</t>
        </is>
      </c>
      <c r="C5" s="10">
        <v>0.48</v>
      </c>
      <c r="D5" s="10">
        <v>0.55</v>
      </c>
      <c r="E5" s="10">
        <v>0.58</v>
      </c>
      <c r="F5" s="10">
        <v>0.51</v>
      </c>
      <c r="G5" s="10">
        <v>0.49</v>
      </c>
      <c r="H5" s="10">
        <v>0.58</v>
      </c>
      <c r="I5" s="10">
        <v>0.61</v>
      </c>
      <c r="J5" s="10">
        <v>0.52</v>
      </c>
      <c r="K5" s="10">
        <v>0.53</v>
      </c>
      <c r="L5" s="10">
        <v>0.64</v>
      </c>
      <c r="M5" s="10">
        <v>0.67</v>
      </c>
      <c r="N5" s="10"/>
      <c r="O5" s="10"/>
      <c r="P5" s="10"/>
      <c r="Q5" s="10"/>
      <c r="R5" s="10"/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IF(COUNT(C2:C3,C4:C5,C9:C12)=0,"",SUM(C4:C5))</f>
        <v>2.33</v>
      </c>
      <c r="D6" s="15">
        <f>IF(COUNT(D2:D3,D4:D5,D9:D12)=0,"",SUM(D4:D5))</f>
        <v>2.5</v>
      </c>
      <c r="E6" s="15">
        <f>IF(COUNT(E2:E3,E4:E5,E9:E12)=0,"",SUM(E4:E5))</f>
        <v>2.63</v>
      </c>
      <c r="F6" s="15">
        <f>IF(COUNT(F2:F3,F4:F5,F9:F12)=0,"",SUM(F4:F5))</f>
        <v>2.43</v>
      </c>
      <c r="G6" s="15">
        <f>IF(COUNT(G2:G3,G4:G5,G9:G12)=0,"",SUM(G4:G5))</f>
        <v>2.5</v>
      </c>
      <c r="H6" s="15">
        <f>IF(COUNT(H2:H3,H4:H5,H9:H12)=0,"",SUM(H4:H5))</f>
        <v>2.66</v>
      </c>
      <c r="I6" s="15">
        <f>IF(COUNT(I2:I3,I4:I5,I9:I12)=0,"",SUM(I4:I5))</f>
        <v>2.78</v>
      </c>
      <c r="J6" s="15">
        <f>IF(COUNT(J2:J3,J4:J5,J9:J12)=0,"",SUM(J4:J5))</f>
        <v>2.55</v>
      </c>
      <c r="K6" s="15">
        <f>IF(COUNT(K2:K3,K4:K5,K9:K12)=0,"",SUM(K4:K5))</f>
        <v>2.64</v>
      </c>
      <c r="L6" s="15">
        <f>IF(COUNT(L2:L3,L4:L5,L9:L12)=0,"",SUM(L4:L5))</f>
        <v>2.83</v>
      </c>
      <c r="M6" s="15">
        <f>IF(COUNT(M2:M3,M4:M5,M9:M12)=0,"",SUM(M4:M5))</f>
        <v>2.91</v>
      </c>
      <c r="N6" s="15" t="str">
        <f>IF(COUNT(N2:N3,N4:N5,N9:N12)=0,"",SUM(N4:N5))</f>
        <v/>
      </c>
      <c r="O6" s="15" t="str">
        <f>IF(COUNT(O2:O3,O4:O5,O9:O12)=0,"",SUM(O4:O5))</f>
        <v/>
      </c>
      <c r="P6" s="15" t="str">
        <f>IF(COUNT(P2:P3,P4:P5,P9:P12)=0,"",SUM(P4:P5))</f>
        <v/>
      </c>
      <c r="Q6" s="15" t="str">
        <f>IF(COUNT(Q2:Q3,Q4:Q5,Q9:Q12)=0,"",SUM(Q4:Q5))</f>
        <v/>
      </c>
      <c r="R6" s="15" t="str">
        <f>IF(COUNT(R2:R3,R4:R5,R9:R12)=0,"",SUM(R4:R5))</f>
        <v/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IF(COUNT(C2:C3,C4:C5,C9:C12)=0,"",SUM(C2:C3)-C6)</f>
        <v>3.09</v>
      </c>
      <c r="D7" s="15">
        <f>IF(COUNT(D2:D3,D4:D5,D9:D12)=0,"",SUM(D2:D3)-D6)</f>
        <v>7.28</v>
      </c>
      <c r="E7" s="15">
        <f>IF(COUNT(E2:E3,E4:E5,E9:E12)=0,"",SUM(E2:E3)-E6)</f>
        <v>7.58</v>
      </c>
      <c r="F7" s="15">
        <f>IF(COUNT(F2:F3,F4:F5,F9:F12)=0,"",SUM(F2:F3)-F6)</f>
        <v>2.88</v>
      </c>
      <c r="G7" s="15">
        <f>IF(COUNT(G2:G3,G4:G5,G9:G12)=0,"",SUM(G2:G3)-G6)</f>
        <v>3.12</v>
      </c>
      <c r="H7" s="15">
        <f>IF(COUNT(H2:H3,H4:H5,H9:H12)=0,"",SUM(H2:H3)-H6)</f>
        <v>7.38</v>
      </c>
      <c r="I7" s="15">
        <f>IF(COUNT(I2:I3,I4:I5,I9:I12)=0,"",SUM(I2:I3)-I6)</f>
        <v>7.74</v>
      </c>
      <c r="J7" s="15">
        <f>IF(COUNT(J2:J3,J4:J5,J9:J12)=0,"",SUM(J2:J3)-J6)</f>
        <v>3.38</v>
      </c>
      <c r="K7" s="15">
        <f>IF(COUNT(K2:K3,K4:K5,K9:K12)=0,"",SUM(K2:K3)-K6)</f>
        <v>3.44</v>
      </c>
      <c r="L7" s="15">
        <f>IF(COUNT(L2:L3,L4:L5,L9:L12)=0,"",SUM(L2:L3)-L6)</f>
        <v>7.78</v>
      </c>
      <c r="M7" s="15">
        <f>IF(COUNT(M2:M3,M4:M5,M9:M12)=0,"",SUM(M2:M3)-M6)</f>
        <v>8.03</v>
      </c>
      <c r="N7" s="15" t="str">
        <f>IF(COUNT(N2:N3,N4:N5,N9:N12)=0,"",SUM(N2:N3)-N6)</f>
        <v/>
      </c>
      <c r="O7" s="15" t="str">
        <f>IF(COUNT(O2:O3,O4:O5,O9:O12)=0,"",SUM(O2:O3)-O6)</f>
        <v/>
      </c>
      <c r="P7" s="15" t="str">
        <f>IF(COUNT(P2:P3,P4:P5,P9:P12)=0,"",SUM(P2:P3)-P6)</f>
        <v/>
      </c>
      <c r="Q7" s="15" t="str">
        <f>IF(COUNT(Q2:Q3,Q4:Q5,Q9:Q12)=0,"",SUM(Q2:Q3)-Q6)</f>
        <v/>
      </c>
      <c r="R7" s="15" t="str">
        <f>IF(COUNT(R2:R3,R4:R5,R9:R12)=0,"",SUM(R2:R3)-R6)</f>
        <v/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2.3</v>
      </c>
      <c r="D9" s="10">
        <v>2.33</v>
      </c>
      <c r="E9" s="10">
        <v>2.37</v>
      </c>
      <c r="F9" s="10">
        <v>2.4</v>
      </c>
      <c r="G9" s="10">
        <v>2.42</v>
      </c>
      <c r="H9" s="10">
        <v>2.48</v>
      </c>
      <c r="I9" s="10">
        <v>2.51</v>
      </c>
      <c r="J9" s="10">
        <v>2.57</v>
      </c>
      <c r="K9" s="10">
        <v>2.62</v>
      </c>
      <c r="L9" s="10">
        <v>2.68</v>
      </c>
      <c r="M9" s="10">
        <v>2.74</v>
      </c>
      <c r="N9" s="10"/>
      <c r="O9" s="10"/>
      <c r="P9" s="10"/>
      <c r="Q9" s="10"/>
      <c r="R9" s="10"/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2.05</v>
      </c>
      <c r="D10" s="10">
        <v>2</v>
      </c>
      <c r="E10" s="10">
        <v>1.95</v>
      </c>
      <c r="F10" s="10">
        <v>1.91</v>
      </c>
      <c r="G10" s="10">
        <v>1.86</v>
      </c>
      <c r="H10" s="10">
        <v>1.81</v>
      </c>
      <c r="I10" s="10">
        <v>1.76</v>
      </c>
      <c r="J10" s="10">
        <v>1.7</v>
      </c>
      <c r="K10" s="10">
        <v>1.65</v>
      </c>
      <c r="L10" s="10">
        <v>1.6</v>
      </c>
      <c r="M10" s="10">
        <v>1.55</v>
      </c>
      <c r="N10" s="10"/>
      <c r="O10" s="10"/>
      <c r="P10" s="10"/>
      <c r="Q10" s="10"/>
      <c r="R10" s="10"/>
    </row>
    <row r="11">
      <c r="A11" s="8" t="inlineStr">
        <is>
          <t xml:space="preserve">Interest rate swap settlements</t>
        </is>
      </c>
      <c r="B11" s="8" t="inlineStr">
        <is>
          <t xml:space="preserve">Debt service</t>
        </is>
      </c>
      <c r="C11" s="10">
        <v>0.06</v>
      </c>
      <c r="D11" s="10">
        <v>0.05</v>
      </c>
      <c r="E11" s="10">
        <v>0.04</v>
      </c>
      <c r="F11" s="10">
        <v>0.03</v>
      </c>
      <c r="G11" s="10">
        <v>0.02</v>
      </c>
      <c r="H11" s="10">
        <v>0.01</v>
      </c>
      <c r="I11" s="10">
        <v>-0.01</v>
      </c>
      <c r="J11" s="10">
        <v>-0.02</v>
      </c>
      <c r="K11" s="10">
        <v>-0.03</v>
      </c>
      <c r="L11" s="10">
        <v>-0.02</v>
      </c>
      <c r="M11" s="10">
        <v>-0.03</v>
      </c>
      <c r="N11" s="10"/>
      <c r="O11" s="10"/>
      <c r="P11" s="10"/>
      <c r="Q11" s="10"/>
      <c r="R11" s="10"/>
    </row>
    <row r="12">
      <c r="A12" s="8" t="inlineStr">
        <is>
          <t xml:space="preserve">Agency fees</t>
        </is>
      </c>
      <c r="B12" s="8" t="inlineStr">
        <is>
          <t xml:space="preserve">Debt service</t>
        </is>
      </c>
      <c r="C12" s="10">
        <v>0.02</v>
      </c>
      <c r="D12" s="10">
        <v>0.02</v>
      </c>
      <c r="E12" s="10">
        <v>0.02</v>
      </c>
      <c r="F12" s="10">
        <v>0.02</v>
      </c>
      <c r="G12" s="10">
        <v>0.02</v>
      </c>
      <c r="H12" s="10">
        <v>0.02</v>
      </c>
      <c r="I12" s="10">
        <v>0.02</v>
      </c>
      <c r="J12" s="10">
        <v>0.02</v>
      </c>
      <c r="K12" s="10">
        <v>0.02</v>
      </c>
      <c r="L12" s="10">
        <v>0.02</v>
      </c>
      <c r="M12" s="10">
        <v>0.02</v>
      </c>
      <c r="N12" s="10"/>
      <c r="O12" s="10"/>
      <c r="P12" s="10"/>
      <c r="Q12" s="10"/>
      <c r="R12" s="10"/>
    </row>
    <row r="13">
      <c r="A13" s="6" t="inlineStr">
        <is>
          <t xml:space="preserve">Total debt service costs</t>
        </is>
      </c>
      <c r="B13" s="2" t="inlineStr">
        <is>
          <t xml:space="preserve">Calculated</t>
        </is>
      </c>
      <c r="C13" s="15">
        <f>IF(COUNT(C2:C3,C4:C5,C9:C12)=0,"",SUM(C9:C12))</f>
        <v>4.43</v>
      </c>
      <c r="D13" s="15">
        <f>IF(COUNT(D2:D3,D4:D5,D9:D12)=0,"",SUM(D9:D12))</f>
        <v>4.4</v>
      </c>
      <c r="E13" s="15">
        <f>IF(COUNT(E2:E3,E4:E5,E9:E12)=0,"",SUM(E9:E12))</f>
        <v>4.38</v>
      </c>
      <c r="F13" s="15">
        <f>IF(COUNT(F2:F3,F4:F5,F9:F12)=0,"",SUM(F9:F12))</f>
        <v>4.36</v>
      </c>
      <c r="G13" s="15">
        <f>IF(COUNT(G2:G3,G4:G5,G9:G12)=0,"",SUM(G9:G12))</f>
        <v>4.32</v>
      </c>
      <c r="H13" s="15">
        <f>IF(COUNT(H2:H3,H4:H5,H9:H12)=0,"",SUM(H9:H12))</f>
        <v>4.32</v>
      </c>
      <c r="I13" s="15">
        <f>IF(COUNT(I2:I3,I4:I5,I9:I12)=0,"",SUM(I9:I12))</f>
        <v>4.28</v>
      </c>
      <c r="J13" s="15">
        <f>IF(COUNT(J2:J3,J4:J5,J9:J12)=0,"",SUM(J9:J12))</f>
        <v>4.27</v>
      </c>
      <c r="K13" s="15">
        <f>IF(COUNT(K2:K3,K4:K5,K9:K12)=0,"",SUM(K9:K12))</f>
        <v>4.26</v>
      </c>
      <c r="L13" s="15">
        <f>IF(COUNT(L2:L3,L4:L5,L9:L12)=0,"",SUM(L9:L12))</f>
        <v>4.28</v>
      </c>
      <c r="M13" s="15">
        <f>IF(COUNT(M2:M3,M4:M5,M9:M12)=0,"",SUM(M9:M12))</f>
        <v>4.28</v>
      </c>
      <c r="N13" s="15" t="str">
        <f>IF(COUNT(N2:N3,N4:N5,N9:N12)=0,"",SUM(N9:N12))</f>
        <v/>
      </c>
      <c r="O13" s="15" t="str">
        <f>IF(COUNT(O2:O3,O4:O5,O9:O12)=0,"",SUM(O9:O12))</f>
        <v/>
      </c>
      <c r="P13" s="15" t="str">
        <f>IF(COUNT(P2:P3,P4:P5,P9:P12)=0,"",SUM(P9:P12))</f>
        <v/>
      </c>
      <c r="Q13" s="15" t="str">
        <f>IF(COUNT(Q2:Q3,Q4:Q5,Q9:Q12)=0,"",SUM(Q9:Q12))</f>
        <v/>
      </c>
      <c r="R13" s="15" t="str">
        <f>IF(COUNT(R2:R3,R4:R5,R9:R12)=0,"",SUM(R9:R12))</f>
        <v/>
      </c>
    </row>
    <row r="14"/>
    <row r="15">
      <c r="A15" s="6" t="inlineStr">
        <is>
          <t xml:space="preserve">DSCR - quarter</t>
        </is>
      </c>
      <c r="B15" s="2" t="inlineStr">
        <is>
          <t xml:space="preserve">Calculated</t>
        </is>
      </c>
      <c r="C15" s="16">
        <f>IFERROR(C7/C13,"")</f>
        <v>0.697517</v>
      </c>
      <c r="D15" s="16">
        <f>IFERROR(D7/D13,"")</f>
        <v>1.654545</v>
      </c>
      <c r="E15" s="16">
        <f>IFERROR(E7/E13,"")</f>
        <v>1.730594</v>
      </c>
      <c r="F15" s="16">
        <f>IFERROR(F7/F13,"")</f>
        <v>0.66055</v>
      </c>
      <c r="G15" s="16">
        <f>IFERROR(G7/G13,"")</f>
        <v>0.722222</v>
      </c>
      <c r="H15" s="16">
        <f>IFERROR(H7/H13,"")</f>
        <v>1.708333</v>
      </c>
      <c r="I15" s="16">
        <f>IFERROR(I7/I13,"")</f>
        <v>1.808411</v>
      </c>
      <c r="J15" s="16">
        <f>IFERROR(J7/J13,"")</f>
        <v>0.791569</v>
      </c>
      <c r="K15" s="16">
        <f>IFERROR(K7/K13,"")</f>
        <v>0.807512</v>
      </c>
      <c r="L15" s="16">
        <f>IFERROR(L7/L13,"")</f>
        <v>1.817757</v>
      </c>
      <c r="M15" s="16">
        <f>IFERROR(M7/M13,"")</f>
        <v>1.876168</v>
      </c>
      <c r="N15" s="16" t="str">
        <f>IFERROR(N7/N13,"")</f>
        <v/>
      </c>
      <c r="O15" s="16" t="str">
        <f>IFERROR(O7/O13,"")</f>
        <v/>
      </c>
      <c r="P15" s="16" t="str">
        <f>IFERROR(P7/P13,"")</f>
        <v/>
      </c>
      <c r="Q15" s="16" t="str">
        <f>IFERROR(Q7/Q13,"")</f>
        <v/>
      </c>
      <c r="R15" s="16" t="str">
        <f>IFERROR(R7/R13,"")</f>
        <v/>
      </c>
    </row>
    <row r="16">
      <c r="A16" s="6" t="inlineStr">
        <is>
          <t xml:space="preserve">DSCR - LTM</t>
        </is>
      </c>
      <c r="B16" s="2" t="inlineStr">
        <is>
          <t xml:space="preserve">Calculated</t>
        </is>
      </c>
      <c r="C16" s="16" t="str">
        <f>""</f>
        <v/>
      </c>
      <c r="D16" s="16" t="str">
        <f>""</f>
        <v/>
      </c>
      <c r="E16" s="16" t="str">
        <f>""</f>
        <v/>
      </c>
      <c r="F16" s="16">
        <f>IF(COUNT(C7:F7)&lt;4,"",IFERROR(SUM(C7:F7)/SUM(C13:F13),""))</f>
        <v>1.185544</v>
      </c>
      <c r="G16" s="16">
        <f>IF(COUNT(D7:G7)&lt;4,"",IFERROR(SUM(D7:G7)/SUM(D13:G13),""))</f>
        <v>1.194731</v>
      </c>
      <c r="H16" s="16">
        <f>IF(COUNT(E7:H7)&lt;4,"",IFERROR(SUM(E7:H7)/SUM(E13:H13),""))</f>
        <v>1.205984</v>
      </c>
      <c r="I16" s="16">
        <f>IF(COUNT(F7:I7)&lt;4,"",IFERROR(SUM(F7:I7)/SUM(F13:I13),""))</f>
        <v>1.222222</v>
      </c>
      <c r="J16" s="16">
        <f>IF(COUNT(G7:J7)&lt;4,"",IFERROR(SUM(G7:J7)/SUM(G13:J13),""))</f>
        <v>1.257708</v>
      </c>
      <c r="K16" s="16">
        <f>IF(COUNT(H7:K7)&lt;4,"",IFERROR(SUM(H7:K7)/SUM(H13:K13),""))</f>
        <v>1.280794</v>
      </c>
      <c r="L16" s="16">
        <f>IF(COUNT(I7:L7)&lt;4,"",IFERROR(SUM(I7:L7)/SUM(I13:L13),""))</f>
        <v>1.307197</v>
      </c>
      <c r="M16" s="16">
        <f>IF(COUNT(J7:M7)&lt;4,"",IFERROR(SUM(J7:M7)/SUM(J13:M13),""))</f>
        <v>1.324166</v>
      </c>
      <c r="N16" s="16" t="str">
        <f>IF(COUNT(K7:N7)&lt;4,"",IFERROR(SUM(K7:N7)/SUM(K13:N13),""))</f>
        <v/>
      </c>
      <c r="O16" s="16" t="str">
        <f>IF(COUNT(L7:O7)&lt;4,"",IFERROR(SUM(L7:O7)/SUM(L13:O13),""))</f>
        <v/>
      </c>
      <c r="P16" s="16" t="str">
        <f>IF(COUNT(M7:P7)&lt;4,"",IFERROR(SUM(M7:P7)/SUM(M13:P13),""))</f>
        <v/>
      </c>
      <c r="Q16" s="16" t="str">
        <f>IF(COUNT(N7:Q7)&lt;4,"",IFERROR(SUM(N7:Q7)/SUM(N13:Q13),""))</f>
        <v/>
      </c>
      <c r="R16" s="16" t="str">
        <f>IF(COUNT(O7:R7)&lt;4,"",IFERROR(SUM(O7:R7)/SUM(O13:R13),""))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