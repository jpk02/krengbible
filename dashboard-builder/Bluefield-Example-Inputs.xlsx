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"EV Basis": if the EV Case values were pro-rated from quarterly, semi-annual or annual figures, pick that here.  The EV Case</t>
        </is>
      </c>
    </row>
    <row r="24">
      <c r="A24" t="inlineStr">
        <is>
          <t xml:space="preserve">               values get a small letter (a, b, ...) and a footnote under the table explains it.  Monthly (the default) adds nothing.</t>
        </is>
      </c>
    </row>
    <row r="25">
      <c r="A25" t="inlineStr">
        <is>
          <t xml:space="preserve">               "YTD Method": Sum (default) adds the months up; Average averages them (use for percentages like capacity factor).</t>
        </is>
      </c>
    </row>
    <row r="26">
      <c r="A26" t="inlineStr">
        <is>
          <t xml:space="preserve">               Month EV Case and YTD EV Case are always typed in.</t>
        </is>
      </c>
    </row>
    <row r="27">
      <c r="A27" t="inlineStr">
        <is>
          <t xml:space="preserve">Commentary  -  Heading + Text pairs for the bottom-right box.</t>
        </is>
      </c>
    </row>
    <row r="28">
      <c r="A28" t="inlineStr">
        <is>
          <t xml:space="preserve">Side Table  -  a free-form grid for the bottom-right box.  Row 1 = column headers.  Values print exactly as they appear in Excel.</t>
        </is>
      </c>
    </row>
    <row r="29">
      <c r="A29" t="inlineStr">
        <is>
          <t xml:space="preserve">Debt Service  -  quarterly cash flow for page 2.  One column per quarter, oldest on the left.  Role: Revenue, Expense or Debt service.</t>
        </is>
      </c>
    </row>
    <row r="30">
      <c r="A30" t="inlineStr">
        <is>
          <t xml:space="preserve">               Enter expenses and debt service as positive numbers.  CFADS = Revenue - Expenses.  DSCR = CFADS / Debt service.</t>
        </is>
      </c>
    </row>
    <row r="31">
      <c r="A31" t="inlineStr">
        <is>
          <t xml:space="preserve">               LTM DSCR = last 4 quarters of CFADS / last 4 quarters of debt service.  Add any expense or debt service rows you need.</t>
        </is>
      </c>
    </row>
    <row r="32">
      <c r="A32" t="inlineStr">
        <is>
          <t xml:space="preserve">Reserves  -  one row per reserve account (DSR, O&amp;M reserve, ...): Required balance and Balance available.  Shown on page 2 below the DSCR chart</t>
        </is>
      </c>
    </row>
    <row r="33">
      <c r="A33" t="inlineStr">
        <is>
          <t xml:space="preserve">               with the % funded; anything under 100% is flagged.</t>
        </is>
      </c>
    </row>
    <row r="34">
      <c r="A34" t="inlineStr">
        <is>
          <t xml:space="preserve">DSCR Notes  -  optional Heading + Text pairs shown on page 2 below the reserves.</t>
        </is>
      </c>
    </row>
    <row r="35"/>
    <row r="36">
      <c r="A36" s="6" t="inlineStr">
        <is>
          <t xml:space="preserve">Tips</t>
        </is>
      </c>
    </row>
    <row r="37">
      <c r="A37" t="inlineStr">
        <is>
          <t xml:space="preserve">-  Do not rename the tabs or the column headers in row 1.  You can add, delete or reorder rows freely.</t>
        </is>
      </c>
    </row>
    <row r="38">
      <c r="A38" t="inlineStr">
        <is>
          <t xml:space="preserve">-  Copy this workbook for each asset (one workbook = one dashboard).</t>
        </is>
      </c>
    </row>
    <row r="39">
      <c r="A39" t="inlineStr">
        <is>
          <t xml:space="preserve">-  The Chart dropdowns list the names on the Charts tab automatically (from a hidden "Lists" tab).  Add a chart there and it appears in the dropdowns.</t>
        </is>
      </c>
    </row>
    <row r="40">
      <c r="A40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BLUEFIELD SOLAR HOLDINGS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and Financial Performance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Maintenance Commentary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30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Bluefield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Pro-rated note</t>
        </is>
      </c>
      <c r="B24" s="8"/>
      <c r="C24" s="2" t="inlineStr">
        <is>
          <t xml:space="preserve">Optional wording for the EV Basis footnote under the table.  Blank = "EV Case pro-rated from quarterly figures on a straight-line monthly basis; it does not reflect seasonality within the quarter."  You can use {basis} (quarterly / semi-annual / annual), {period} (quarter / half-year / year) and {comparison} (the Comparison label).</t>
        </is>
      </c>
    </row>
    <row r="25">
      <c r="A25" s="6" t="inlineStr">
        <is>
          <t xml:space="preserve">Include DSCR page</t>
        </is>
      </c>
      <c r="B25" s="8" t="inlineStr">
        <is>
          <t xml:space="preserve">Auto</t>
        </is>
      </c>
      <c r="C25" s="2" t="inlineStr">
        <is>
          <t xml:space="preserve">Auto = add page 2 (Debt Service Coverage) when the Debt Service tab has data.  Yes / No to force it.</t>
        </is>
      </c>
    </row>
    <row r="26">
      <c r="A26" s="6" t="inlineStr">
        <is>
          <t xml:space="preserve">DSCR page title</t>
        </is>
      </c>
      <c r="B26" s="8" t="inlineStr">
        <is>
          <t xml:space="preserve">Debt Service Coverage - LTM Basis</t>
        </is>
      </c>
      <c r="C26" s="2" t="inlineStr">
        <is>
          <t xml:space="preserve">Header above the DSCR charts on page 2.</t>
        </is>
      </c>
    </row>
    <row r="27">
      <c r="A27" s="6" t="inlineStr">
        <is>
          <t xml:space="preserve">Quarters shown</t>
        </is>
      </c>
      <c r="B27" s="8">
        <v>4</v>
      </c>
      <c r="C27" s="2" t="inlineStr">
        <is>
          <t xml:space="preserve">How many of the most recent quarters page 2 shows (1-8).  Enter 3 extra older quarters to show an LTM DSCR for every quarter shown.</t>
        </is>
      </c>
    </row>
    <row r="28">
      <c r="A28" s="6" t="inlineStr">
        <is>
          <t xml:space="preserve">Distribution lock-up DSCR</t>
        </is>
      </c>
      <c r="B28" s="8">
        <v>1.2</v>
      </c>
      <c r="C28" s="2" t="inlineStr">
        <is>
          <t xml:space="preserve">Distribution lock-up covenant, e.g. 1.20.  Drawn as a reference line.  Leave blank and it does not appear anywhere.</t>
        </is>
      </c>
    </row>
    <row r="29">
      <c r="A29" s="6" t="inlineStr">
        <is>
          <t xml:space="preserve">Default DSCR</t>
        </is>
      </c>
      <c r="B29" s="8">
        <v>1.1</v>
      </c>
      <c r="C29" s="2" t="inlineStr">
        <is>
          <t xml:space="preserve">Default covenant, e.g. 1.10.  Drawn as a reference line.  Leave blank and it does not appear anywhere.</t>
        </is>
      </c>
    </row>
    <row r="30">
      <c r="A30" s="6" t="inlineStr">
        <is>
          <t xml:space="preserve">Reserves title</t>
        </is>
      </c>
      <c r="B30" s="8" t="inlineStr">
        <is>
          <t xml:space="preserve">DSR and O&amp;M Reserves</t>
        </is>
      </c>
      <c r="C30" s="2" t="inlineStr">
        <is>
          <t xml:space="preserve">Header of the reserves box on page 2 (below the DSCR chart).</t>
        </is>
      </c>
    </row>
    <row r="31">
      <c r="A31" s="6" t="inlineStr">
        <is>
          <t xml:space="preserve">Cash flow units</t>
        </is>
      </c>
      <c r="B31" s="8" t="inlineStr">
        <is>
          <t xml:space="preserve">$MM</t>
        </is>
      </c>
      <c r="C31" s="2" t="inlineStr">
        <is>
          <t xml:space="preserve">Units label for page 2, e.g. $MM or $000s.</t>
        </is>
      </c>
    </row>
    <row r="32">
      <c r="A32" s="6" t="inlineStr">
        <is>
          <t xml:space="preserve">Cash flow decimals</t>
        </is>
      </c>
      <c r="B32" s="8">
        <v>2</v>
      </c>
      <c r="C32" s="2" t="inlineStr">
        <is>
          <t xml:space="preserve">Decimals in the page 2 cash flow table.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5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Generation (GWh)</t>
        </is>
      </c>
      <c r="B2" s="8"/>
      <c r="C2" s="8">
        <v>2026</v>
      </c>
      <c r="D2" s="8">
        <v>1</v>
      </c>
      <c r="E2" s="9">
        <v>24.6</v>
      </c>
      <c r="F2" s="9">
        <v>27.3</v>
      </c>
      <c r="G2" s="9">
        <v>38.9</v>
      </c>
      <c r="H2" s="9">
        <v>44.1</v>
      </c>
      <c r="I2" s="9">
        <v>49.8</v>
      </c>
      <c r="J2" s="9">
        <v>52.4</v>
      </c>
      <c r="K2" s="9">
        <v>41.7</v>
      </c>
      <c r="L2" s="9">
        <v>47.2</v>
      </c>
      <c r="M2" s="9"/>
      <c r="N2" s="9"/>
      <c r="O2" s="9"/>
      <c r="P2" s="9"/>
    </row>
    <row r="3">
      <c r="A3" s="8" t="inlineStr">
        <is>
          <t xml:space="preserve">Generation (GWh)</t>
        </is>
      </c>
      <c r="B3" s="8"/>
      <c r="C3" s="8">
        <v>2025</v>
      </c>
      <c r="D3" s="8">
        <v>1</v>
      </c>
      <c r="E3" s="9">
        <v>22.9</v>
      </c>
      <c r="F3" s="9">
        <v>26.1</v>
      </c>
      <c r="G3" s="9">
        <v>36.4</v>
      </c>
      <c r="H3" s="9">
        <v>42.7</v>
      </c>
      <c r="I3" s="9">
        <v>47.5</v>
      </c>
      <c r="J3" s="9">
        <v>50.9</v>
      </c>
      <c r="K3" s="9">
        <v>49.6</v>
      </c>
      <c r="L3" s="9">
        <v>45.8</v>
      </c>
      <c r="M3" s="9">
        <v>39.2</v>
      </c>
      <c r="N3" s="9">
        <v>31.5</v>
      </c>
      <c r="O3" s="9">
        <v>25.4</v>
      </c>
      <c r="P3" s="9">
        <v>21.8</v>
      </c>
    </row>
    <row r="4">
      <c r="A4" s="8" t="inlineStr">
        <is>
          <t xml:space="preserve">Revenue ($MM)</t>
        </is>
      </c>
      <c r="B4" s="8"/>
      <c r="C4" s="8">
        <v>2026</v>
      </c>
      <c r="D4" s="8">
        <v>1</v>
      </c>
      <c r="E4" s="10">
        <v>1.62</v>
      </c>
      <c r="F4" s="10">
        <v>1.84</v>
      </c>
      <c r="G4" s="10">
        <v>2.57</v>
      </c>
      <c r="H4" s="10">
        <v>3.03</v>
      </c>
      <c r="I4" s="10">
        <v>3.41</v>
      </c>
      <c r="J4" s="10">
        <v>4.12</v>
      </c>
      <c r="K4" s="10">
        <v>3.46</v>
      </c>
      <c r="L4" s="10">
        <v>3.92</v>
      </c>
      <c r="M4" s="10"/>
      <c r="N4" s="10"/>
      <c r="O4" s="10"/>
      <c r="P4" s="10"/>
    </row>
    <row r="5">
      <c r="A5" s="8" t="inlineStr">
        <is>
          <t xml:space="preserve">Revenue ($MM)</t>
        </is>
      </c>
      <c r="B5" s="8"/>
      <c r="C5" s="8">
        <v>2025</v>
      </c>
      <c r="D5" s="8">
        <v>1</v>
      </c>
      <c r="E5" s="9">
        <v>1.5</v>
      </c>
      <c r="F5" s="9">
        <v>1.7</v>
      </c>
      <c r="G5" s="9">
        <v>2.4</v>
      </c>
      <c r="H5" s="9">
        <v>2.8</v>
      </c>
      <c r="I5" s="9">
        <v>3.2</v>
      </c>
      <c r="J5" s="9">
        <v>3.9</v>
      </c>
      <c r="K5" s="9">
        <v>4</v>
      </c>
      <c r="L5" s="9">
        <v>3.7</v>
      </c>
      <c r="M5" s="9">
        <v>2.9</v>
      </c>
      <c r="N5" s="9">
        <v>2.2</v>
      </c>
      <c r="O5" s="9">
        <v>1.7</v>
      </c>
      <c r="P5" s="9">
        <v>1.4</v>
      </c>
    </row>
    <row r="6">
      <c r="A6" s="8" t="inlineStr">
        <is>
          <t xml:space="preserve">Operating income ($MM)</t>
        </is>
      </c>
      <c r="B6" s="8"/>
      <c r="C6" s="8">
        <v>2026</v>
      </c>
      <c r="D6" s="8">
        <v>1</v>
      </c>
      <c r="E6" s="10">
        <v>-0.41</v>
      </c>
      <c r="F6" s="10">
        <v>0.12</v>
      </c>
      <c r="G6" s="10">
        <v>0.88</v>
      </c>
      <c r="H6" s="10">
        <v>1.31</v>
      </c>
      <c r="I6" s="10">
        <v>1.69</v>
      </c>
      <c r="J6" s="10">
        <v>2.27</v>
      </c>
      <c r="K6" s="10">
        <v>1.66</v>
      </c>
      <c r="L6" s="10">
        <v>2.07</v>
      </c>
      <c r="M6" s="10"/>
      <c r="N6" s="10"/>
      <c r="O6" s="10"/>
      <c r="P6" s="10"/>
    </row>
    <row r="7">
      <c r="A7" s="8" t="inlineStr">
        <is>
          <t xml:space="preserve">Operating income ($MM)</t>
        </is>
      </c>
      <c r="B7" s="8"/>
      <c r="C7" s="8">
        <v>2025</v>
      </c>
      <c r="D7" s="8">
        <v>1</v>
      </c>
      <c r="E7" s="9">
        <v>-0.6</v>
      </c>
      <c r="F7" s="9">
        <v>-0.2</v>
      </c>
      <c r="G7" s="9">
        <v>0.7</v>
      </c>
      <c r="H7" s="9">
        <v>1.1</v>
      </c>
      <c r="I7" s="9">
        <v>1.5</v>
      </c>
      <c r="J7" s="9">
        <v>2</v>
      </c>
      <c r="K7" s="9">
        <v>2.2</v>
      </c>
      <c r="L7" s="9">
        <v>1.9</v>
      </c>
      <c r="M7" s="9">
        <v>1.2</v>
      </c>
      <c r="N7" s="9">
        <v>0.5</v>
      </c>
      <c r="O7" s="9">
        <v>-0.1</v>
      </c>
      <c r="P7" s="9">
        <v>-0.5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Jul</t>
        </is>
      </c>
      <c r="C2" s="8" t="inlineStr">
        <is>
          <t xml:space="preserve">Plant shut down July 13-17 for a utility transformer replacement at the point of interconnection.</t>
        </is>
      </c>
    </row>
    <row r="3">
      <c r="A3" s="8" t="inlineStr">
        <is>
          <t xml:space="preserve">Operating income ($MM)</t>
        </is>
      </c>
      <c r="B3" s="8" t="inlineStr">
        <is>
          <t xml:space="preserve">Jan</t>
        </is>
      </c>
      <c r="C3" s="8" t="inlineStr">
        <is>
          <t xml:space="preserve">Annual property insurance premium expensed in January.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  <col min="15" max="15" width="22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  <c r="O1" s="1" t="inlineStr">
        <is>
          <t xml:space="preserve">EV Basis</t>
        </is>
      </c>
    </row>
    <row r="2">
      <c r="A2" s="8" t="inlineStr">
        <is>
          <t xml:space="preserve">Generation</t>
        </is>
      </c>
      <c r="B2" s="8" t="inlineStr">
        <is>
          <t xml:space="preserve">Generation (GWh)</t>
        </is>
      </c>
      <c r="C2" s="8"/>
      <c r="D2" s="8" t="inlineStr">
        <is>
          <t xml:space="preserve">Sum</t>
        </is>
      </c>
      <c r="E2" s="8"/>
      <c r="F2" s="8" t="inlineStr">
        <is>
          <t xml:space="preserve"> GWh</t>
        </is>
      </c>
      <c r="G2" s="8">
        <v>1</v>
      </c>
      <c r="H2" s="8" t="inlineStr">
        <is>
          <t xml:space="preserve">Higher</t>
        </is>
      </c>
      <c r="I2" s="8"/>
      <c r="J2" s="8"/>
      <c r="K2" s="13">
        <f>IF($C2="",SUMIFS(INDEX(Charts!$E$2:$P$500,0,CurMonthNum),Charts!$A$2:$A$500,$B2,Charts!$C$2:$C$500,CurYear),SUMIFS(INDEX(Charts!$E$2:$P$500,0,CurMonthNum),Charts!$A$2:$A$500,$B2,Charts!$C$2:$C$500,CurYear,Charts!$B$2:$B$500,$C2))</f>
        <v>47.2</v>
      </c>
      <c r="L2" s="9">
        <v>50.6</v>
      </c>
      <c r="M2" s="13">
        <f>SUMPRODUCT((Charts!$A$2:$A$500=$B2)*(Charts!$C$2:$C$500=CurYear)*((($C2="")+(Charts!$B$2:$B$500=$C2))&gt;0)*(COLUMN(Charts!$E$1:$P$1)-COLUMN(Charts!$E$1)&lt;CurMonthNum),Charts!$E$2:$P$500)/IF($D2="Average",CurMonthNum,1)</f>
        <v>326</v>
      </c>
      <c r="N2" s="9">
        <v>351.4</v>
      </c>
      <c r="O2" s="8" t="inlineStr">
        <is>
          <t xml:space="preserve">Monthly</t>
        </is>
      </c>
    </row>
    <row r="3">
      <c r="A3" s="8" t="inlineStr">
        <is>
          <t xml:space="preserve">Revenue</t>
        </is>
      </c>
      <c r="B3" s="8" t="inlineStr">
        <is>
          <t xml:space="preserve">Revenue ($MM)</t>
        </is>
      </c>
      <c r="C3" s="8"/>
      <c r="D3" s="8" t="inlineStr">
        <is>
          <t xml:space="preserve">Sum</t>
        </is>
      </c>
      <c r="E3" s="8" t="inlineStr">
        <is>
          <t xml:space="preserve">$</t>
        </is>
      </c>
      <c r="F3" s="8" t="inlineStr">
        <is>
          <t xml:space="preserve">MM</t>
        </is>
      </c>
      <c r="G3" s="8">
        <v>2</v>
      </c>
      <c r="H3" s="8" t="inlineStr">
        <is>
          <t xml:space="preserve">Higher</t>
        </is>
      </c>
      <c r="I3" s="8"/>
      <c r="J3" s="8"/>
      <c r="K3" s="14">
        <f>IF($C3="",SUMIFS(INDEX(Charts!$E$2:$P$500,0,CurMonthNum),Charts!$A$2:$A$500,$B3,Charts!$C$2:$C$500,CurYear),SUMIFS(INDEX(Charts!$E$2:$P$500,0,CurMonthNum),Charts!$A$2:$A$500,$B3,Charts!$C$2:$C$500,CurYear,Charts!$B$2:$B$500,$C3))</f>
        <v>3.92</v>
      </c>
      <c r="L3" s="10">
        <v>3.85</v>
      </c>
      <c r="M3" s="14">
        <f>SUMPRODUCT((Charts!$A$2:$A$500=$B3)*(Charts!$C$2:$C$500=CurYear)*((($C3="")+(Charts!$B$2:$B$500=$C3))&gt;0)*(COLUMN(Charts!$E$1:$P$1)-COLUMN(Charts!$E$1)&lt;CurMonthNum),Charts!$E$2:$P$500)/IF($D3="Average",CurMonthNum,1)</f>
        <v>23.97</v>
      </c>
      <c r="N3" s="10">
        <v>25.3</v>
      </c>
      <c r="O3" s="8" t="inlineStr">
        <is>
          <t xml:space="preserve">Monthly</t>
        </is>
      </c>
    </row>
    <row r="4">
      <c r="A4" s="8" t="inlineStr">
        <is>
          <t xml:space="preserve">O&amp;M expense</t>
        </is>
      </c>
      <c r="B4" s="8"/>
      <c r="C4" s="8"/>
      <c r="D4" s="8" t="inlineStr">
        <is>
          <t xml:space="preserve">Sum</t>
        </is>
      </c>
      <c r="E4" s="8" t="inlineStr">
        <is>
          <t xml:space="preserve">$</t>
        </is>
      </c>
      <c r="F4" s="8" t="inlineStr">
        <is>
          <t xml:space="preserve">MM</t>
        </is>
      </c>
      <c r="G4" s="8">
        <v>2</v>
      </c>
      <c r="H4" s="8" t="inlineStr">
        <is>
          <t xml:space="preserve">Lower</t>
        </is>
      </c>
      <c r="I4" s="8" t="inlineStr">
        <is>
          <t xml:space="preserve">Abs</t>
        </is>
      </c>
      <c r="J4" s="8"/>
      <c r="K4" s="14">
        <f>K3-K5</f>
        <v>1.85</v>
      </c>
      <c r="L4" s="10">
        <v>1.54</v>
      </c>
      <c r="M4" s="14">
        <f>M3-M5</f>
        <v>14.38</v>
      </c>
      <c r="N4" s="10">
        <v>13.68</v>
      </c>
      <c r="O4" s="8" t="inlineStr">
        <is>
          <t xml:space="preserve">Pro-rated annual</t>
        </is>
      </c>
    </row>
    <row r="5">
      <c r="A5" s="8" t="inlineStr">
        <is>
          <t xml:space="preserve">Operating income</t>
        </is>
      </c>
      <c r="B5" s="8" t="inlineStr">
        <is>
          <t xml:space="preserve">Operating income ($MM)</t>
        </is>
      </c>
      <c r="C5" s="8"/>
      <c r="D5" s="8" t="inlineStr">
        <is>
          <t xml:space="preserve">Sum</t>
        </is>
      </c>
      <c r="E5" s="8" t="inlineStr">
        <is>
          <t xml:space="preserve">$</t>
        </is>
      </c>
      <c r="F5" s="8" t="inlineStr">
        <is>
          <t xml:space="preserve">MM</t>
        </is>
      </c>
      <c r="G5" s="8">
        <v>2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4">
        <f>IF($C5="",SUMIFS(INDEX(Charts!$E$2:$P$500,0,CurMonthNum),Charts!$A$2:$A$500,$B5,Charts!$C$2:$C$500,CurYear),SUMIFS(INDEX(Charts!$E$2:$P$500,0,CurMonthNum),Charts!$A$2:$A$500,$B5,Charts!$C$2:$C$500,CurYear,Charts!$B$2:$B$500,$C5))</f>
        <v>2.07</v>
      </c>
      <c r="L5" s="10">
        <v>2.31</v>
      </c>
      <c r="M5" s="14">
        <f>SUMPRODUCT((Charts!$A$2:$A$500=$B5)*(Charts!$C$2:$C$500=CurYear)*((($C5="")+(Charts!$B$2:$B$500=$C5))&gt;0)*(COLUMN(Charts!$E$1:$P$1)-COLUMN(Charts!$E$1)&lt;CurMonthNum),Charts!$E$2:$P$500)/IF($D5="Average",CurMonthNum,1)</f>
        <v>9.59</v>
      </c>
      <c r="N5" s="10">
        <v>11.62</v>
      </c>
      <c r="O5" s="8" t="inlineStr">
        <is>
          <t xml:space="preserve">Monthly</t>
        </is>
      </c>
    </row>
  </sheetData>
  <dataValidations count="6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  <dataValidation type="list" allowBlank="1" showInputMessage="1" showErrorMessage="1" sqref="O2:O200">
      <formula1>"Monthly,Pro-rated quarterly,Pro-rated semi-annual,Pro-rated annual"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Interconnection</t>
        </is>
      </c>
      <c r="B2" s="8" t="inlineStr">
        <is>
          <t xml:space="preserve">Utility replaced the POI transformer July 13-17; the plant was offline for the full outage.</t>
        </is>
      </c>
    </row>
    <row r="3">
      <c r="A3" s="8" t="inlineStr">
        <is>
          <t xml:space="preserve">Tracker controls</t>
        </is>
      </c>
      <c r="B3" s="8" t="inlineStr">
        <is>
          <t xml:space="preserve">Firmware update completed across all rows; stow logic retested and passed.</t>
        </is>
      </c>
    </row>
    <row r="4">
      <c r="A4" s="8" t="inlineStr">
        <is>
          <t xml:space="preserve">Portfolio</t>
        </is>
      </c>
      <c r="B4" s="8" t="inlineStr">
        <is>
          <t xml:space="preserve">Routine preventive maintenance continued; no safety or environmental events.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1" customWidth="1"/>
    <col min="4" max="4" width="11" customWidth="1"/>
    <col min="5" max="5" width="11" customWidth="1"/>
    <col min="6" max="6" width="11" customWidth="1"/>
    <col min="7" max="7" width="11" customWidth="1"/>
    <col min="8" max="8" width="11" customWidth="1"/>
    <col min="9" max="9" width="11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Q4 2024</t>
        </is>
      </c>
      <c r="D1" s="1" t="inlineStr">
        <is>
          <t xml:space="preserve">Q1 2025</t>
        </is>
      </c>
      <c r="E1" s="1" t="inlineStr">
        <is>
          <t xml:space="preserve">Q2 2025</t>
        </is>
      </c>
      <c r="F1" s="1" t="inlineStr">
        <is>
          <t xml:space="preserve">Q3 2025</t>
        </is>
      </c>
      <c r="G1" s="1" t="inlineStr">
        <is>
          <t xml:space="preserve">Q4 2025</t>
        </is>
      </c>
      <c r="H1" s="1" t="inlineStr">
        <is>
          <t xml:space="preserve">Q1 2026</t>
        </is>
      </c>
      <c r="I1" s="1" t="inlineStr">
        <is>
          <t xml:space="preserve">Q2 2026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5.31</v>
      </c>
      <c r="D2" s="10">
        <v>5.62</v>
      </c>
      <c r="E2" s="10">
        <v>10.04</v>
      </c>
      <c r="F2" s="10">
        <v>10.52</v>
      </c>
      <c r="G2" s="10">
        <v>5.93</v>
      </c>
      <c r="H2" s="10">
        <v>6.08</v>
      </c>
      <c r="I2" s="10">
        <v>10.61</v>
      </c>
    </row>
    <row r="3">
      <c r="A3" s="8" t="inlineStr">
        <is>
          <t xml:space="preserve">O&amp;M</t>
        </is>
      </c>
      <c r="B3" s="8" t="inlineStr">
        <is>
          <t xml:space="preserve">Expense</t>
        </is>
      </c>
      <c r="C3" s="10">
        <v>1.92</v>
      </c>
      <c r="D3" s="10">
        <v>2.01</v>
      </c>
      <c r="E3" s="10">
        <v>2.08</v>
      </c>
      <c r="F3" s="10">
        <v>2.17</v>
      </c>
      <c r="G3" s="10">
        <v>2.03</v>
      </c>
      <c r="H3" s="10">
        <v>2.11</v>
      </c>
      <c r="I3" s="10">
        <v>2.19</v>
      </c>
    </row>
    <row r="4">
      <c r="A4" s="8" t="inlineStr">
        <is>
          <t xml:space="preserve">Property taxes</t>
        </is>
      </c>
      <c r="B4" s="8" t="inlineStr">
        <is>
          <t xml:space="preserve">Expense</t>
        </is>
      </c>
      <c r="C4" s="10">
        <v>0.4</v>
      </c>
      <c r="D4" s="10">
        <v>0.4</v>
      </c>
      <c r="E4" s="10">
        <v>0.4</v>
      </c>
      <c r="F4" s="10">
        <v>0.4</v>
      </c>
      <c r="G4" s="10">
        <v>0.42</v>
      </c>
      <c r="H4" s="10">
        <v>0.45</v>
      </c>
      <c r="I4" s="10">
        <v>0.45</v>
      </c>
    </row>
    <row r="5">
      <c r="A5" s="8" t="inlineStr">
        <is>
          <t xml:space="preserve">Other taxes</t>
        </is>
      </c>
      <c r="B5" s="8" t="inlineStr">
        <is>
          <t xml:space="preserve">Expense</t>
        </is>
      </c>
      <c r="C5" s="10">
        <v>0.11</v>
      </c>
      <c r="D5" s="10">
        <v>0.09</v>
      </c>
      <c r="E5" s="10">
        <v>0.18</v>
      </c>
      <c r="F5" s="10">
        <v>0.21</v>
      </c>
      <c r="G5" s="10">
        <v>0.1</v>
      </c>
      <c r="H5" s="10">
        <v>0.08</v>
      </c>
      <c r="I5" s="10">
        <v>0.19</v>
      </c>
    </row>
    <row r="6">
      <c r="A6" s="8" t="inlineStr">
        <is>
          <t xml:space="preserve">Principal</t>
        </is>
      </c>
      <c r="B6" s="8" t="inlineStr">
        <is>
          <t xml:space="preserve">Debt service</t>
        </is>
      </c>
      <c r="C6" s="10">
        <v>2.4</v>
      </c>
      <c r="D6" s="10">
        <v>2.42</v>
      </c>
      <c r="E6" s="10">
        <v>2.48</v>
      </c>
      <c r="F6" s="10">
        <v>2.51</v>
      </c>
      <c r="G6" s="10">
        <v>2.57</v>
      </c>
      <c r="H6" s="10">
        <v>2.62</v>
      </c>
      <c r="I6" s="10">
        <v>2.68</v>
      </c>
    </row>
    <row r="7">
      <c r="A7" s="8" t="inlineStr">
        <is>
          <t xml:space="preserve">Interest</t>
        </is>
      </c>
      <c r="B7" s="8" t="inlineStr">
        <is>
          <t xml:space="preserve">Debt service</t>
        </is>
      </c>
      <c r="C7" s="10">
        <v>1.91</v>
      </c>
      <c r="D7" s="10">
        <v>1.86</v>
      </c>
      <c r="E7" s="10">
        <v>1.81</v>
      </c>
      <c r="F7" s="10">
        <v>1.76</v>
      </c>
      <c r="G7" s="10">
        <v>1.7</v>
      </c>
      <c r="H7" s="10">
        <v>1.65</v>
      </c>
      <c r="I7" s="10">
        <v>1.6</v>
      </c>
    </row>
    <row r="8">
      <c r="A8" s="8"/>
      <c r="B8" s="8"/>
      <c r="C8" s="10"/>
      <c r="D8" s="10"/>
      <c r="E8" s="10"/>
      <c r="F8" s="10"/>
      <c r="G8" s="10"/>
      <c r="H8" s="10"/>
      <c r="I8" s="10"/>
    </row>
    <row r="9">
      <c r="A9" s="8"/>
      <c r="B9" s="8"/>
      <c r="C9" s="10"/>
      <c r="D9" s="10"/>
      <c r="E9" s="10"/>
      <c r="F9" s="10"/>
      <c r="G9" s="10"/>
      <c r="H9" s="10"/>
      <c r="I9" s="10"/>
    </row>
  </sheetData>
  <dataValidations count="1">
    <dataValidation type="list" allowBlank="1" showInputMessage="1" showErrorMessage="1" sqref="B2:B100">
      <formula1>"Revenue,Expense,Debt service"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8.55</v>
      </c>
      <c r="C2" s="10">
        <v>8.62</v>
      </c>
    </row>
    <row r="3">
      <c r="A3" s="8" t="inlineStr">
        <is>
          <t xml:space="preserve">O&amp;M reserve</t>
        </is>
      </c>
      <c r="B3" s="10">
        <v>2.1</v>
      </c>
      <c r="C3" s="10">
        <v>1.85</v>
      </c>
    </row>
    <row r="4">
      <c r="A4" s="8"/>
      <c r="B4" s="10"/>
      <c r="C4" s="10"/>
    </row>
    <row r="5">
      <c r="A5" s="8"/>
      <c r="B5" s="10"/>
      <c r="C5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Seasonality</t>
        </is>
      </c>
      <c r="B2" s="8" t="inlineStr">
        <is>
          <t xml:space="preserve">Q1 and Q4 coverage falls below 1.0x on a stand-alone basis every year; the covenants test on an LTM basis.</t>
        </is>
      </c>
    </row>
    <row r="3">
      <c r="A3" s="8" t="inlineStr">
        <is>
          <t xml:space="preserve">Next test</t>
        </is>
      </c>
      <c r="B3" s="8" t="inlineStr">
        <is>
          <t xml:space="preserve">Q3 2026 test at September 30, 2026.  Distributions require 1.20x LTM.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