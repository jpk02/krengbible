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a running quarterly history for page 2: one column per quarter (Q1 2024 to Q4 2027).  Fill in each quarter when it closes;</t>
        </is>
      </c>
    </row>
    <row r="30">
      <c r="A30" t="inlineStr">
        <is>
          <t xml:space="preserve">               nothing ever needs shifting.  Page 2 shows the last completed quarter before the Current month's quarter and the 3 before it</t>
        </is>
      </c>
    </row>
    <row r="31">
      <c r="A31" t="inlineStr">
        <is>
          <t xml:space="preserve">               (Current month Aug -&gt; through Q2; Dec -&gt; through Q3).  Add more quarters by adding columns with labels like "Q1 2028".</t>
        </is>
      </c>
    </row>
    <row r="32">
      <c r="A32" t="inlineStr">
        <is>
          <t xml:space="preserve">               Role: Revenue, Expense or Debt service.  Enter expenses and debt service as positive numbers.  The black "Calculated</t>
        </is>
      </c>
    </row>
    <row r="33">
      <c r="A33" t="inlineStr">
        <is>
          <t xml:space="preserve">               rows do the math: Total O&amp;M costs, CFADS = Revenue - Total O&amp;M costs, Total debt service costs, DSCR, and DSCR - LTM</t>
        </is>
      </c>
    </row>
    <row r="34">
      <c r="A34" t="inlineStr">
        <is>
          <t xml:space="preserve">               (last 4 quarters of CFADS / last 4 quarters of debt service).  To add a line (e.g. LC fees), insert the row between two</t>
        </is>
      </c>
    </row>
    <row r="35">
      <c r="A35" t="inlineStr">
        <is>
          <t xml:space="preserve">               rows of the same block so the totals' ranges grow to include it.  The PDF recalculates from the input rows.</t>
        </is>
      </c>
    </row>
    <row r="36">
      <c r="A36" t="inlineStr">
        <is>
          <t xml:space="preserve">Reserves  -  one row per reserve account (DSR, O&amp;M reserve, ...): Required balance and Balance available.  Shown on page 2 below the DSCR chart</t>
        </is>
      </c>
    </row>
    <row r="37">
      <c r="A37" t="inlineStr">
        <is>
          <t xml:space="preserve">               with the % funded; anything under 100% is flagged.</t>
        </is>
      </c>
    </row>
    <row r="38">
      <c r="A38" t="inlineStr">
        <is>
          <t xml:space="preserve">DSCR Notes  -  optional Heading + Text pairs shown on page 2 below the reserves.</t>
        </is>
      </c>
    </row>
    <row r="39"/>
    <row r="40">
      <c r="A40" s="6" t="inlineStr">
        <is>
          <t xml:space="preserve">Tips</t>
        </is>
      </c>
    </row>
    <row r="41">
      <c r="A41" t="inlineStr">
        <is>
          <t xml:space="preserve">-  Do not rename the tabs or the column headers in row 1.  You can add, delete or reorder rows freely.</t>
        </is>
      </c>
    </row>
    <row r="42">
      <c r="A42" t="inlineStr">
        <is>
          <t xml:space="preserve">-  Copy this workbook for each asset (one workbook = one dashboard).</t>
        </is>
      </c>
    </row>
    <row r="43">
      <c r="A43" t="inlineStr">
        <is>
          <t xml:space="preserve">-  The Chart dropdowns list the names on the Charts tab automatically (from a hidden "Lists" tab).  Add a chart there and it appears in the dropdowns.</t>
        </is>
      </c>
    </row>
    <row r="44">
      <c r="A4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4</v>
      </c>
      <c r="C27" s="2" t="inlineStr">
        <is>
          <t xml:space="preserve">How many of the most recent quarters page 2 shows (1-8).  Enter 3 extra older quarters to show an LTM DSCR for every quarter shown.</t>
        </is>
      </c>
    </row>
    <row r="28">
      <c r="A28" s="6" t="inlineStr">
        <is>
          <t xml:space="preserve">Distribution lock-up DSCR</t>
        </is>
      </c>
      <c r="B28" s="8">
        <v>1.2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1.1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2</v>
      </c>
      <c r="C32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10">
        <v>1.62</v>
      </c>
      <c r="F4" s="10">
        <v>1.84</v>
      </c>
      <c r="G4" s="10">
        <v>2.57</v>
      </c>
      <c r="H4" s="10">
        <v>3.03</v>
      </c>
      <c r="I4" s="10">
        <v>3.41</v>
      </c>
      <c r="J4" s="10">
        <v>4.12</v>
      </c>
      <c r="K4" s="10">
        <v>3.46</v>
      </c>
      <c r="L4" s="10">
        <v>3.92</v>
      </c>
      <c r="M4" s="10"/>
      <c r="N4" s="10"/>
      <c r="O4" s="10"/>
      <c r="P4" s="10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10">
        <v>-0.41</v>
      </c>
      <c r="F6" s="10">
        <v>0.12</v>
      </c>
      <c r="G6" s="10">
        <v>0.88</v>
      </c>
      <c r="H6" s="10">
        <v>1.31</v>
      </c>
      <c r="I6" s="10">
        <v>1.69</v>
      </c>
      <c r="J6" s="10">
        <v>2.27</v>
      </c>
      <c r="K6" s="10">
        <v>1.66</v>
      </c>
      <c r="L6" s="10">
        <v>2.07</v>
      </c>
      <c r="M6" s="10"/>
      <c r="N6" s="10"/>
      <c r="O6" s="10"/>
      <c r="P6" s="10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13">
        <f>IF($C2="",SUMIFS(INDEX(Charts!$E$2:$P$500,0,CurMonthNum),Charts!$A$2:$A$500,$B2,Charts!$C$2:$C$500,CurYear),SUMIFS(INDEX(Charts!$E$2:$P$500,0,CurMonthNum),Charts!$A$2:$A$500,$B2,Charts!$C$2:$C$500,CurYear,Charts!$B$2:$B$500,$C2))</f>
        <v>47.2</v>
      </c>
      <c r="L2" s="9">
        <v>50.6</v>
      </c>
      <c r="M2" s="13">
        <f>SUMPRODUCT((Charts!$A$2:$A$500=$B2)*(Charts!$C$2:$C$500=CurYear)*((($C2="")+(Charts!$B$2:$B$500=$C2))&gt;0)*(COLUMN(Charts!$E$1:$P$1)-COLUMN(Charts!$E$1)&lt;CurMonthNum),Charts!$E$2:$P$500)/IF($D2="Average",CurMonthNum,1)</f>
        <v>326</v>
      </c>
      <c r="N2" s="9">
        <v>351.4</v>
      </c>
      <c r="O2" s="8" t="inlineStr">
        <is>
          <t xml:space="preserve">Monthly</t>
        </is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14">
        <f>IF($C3="",SUMIFS(INDEX(Charts!$E$2:$P$500,0,CurMonthNum),Charts!$A$2:$A$500,$B3,Charts!$C$2:$C$500,CurYear),SUMIFS(INDEX(Charts!$E$2:$P$500,0,CurMonthNum),Charts!$A$2:$A$500,$B3,Charts!$C$2:$C$500,CurYear,Charts!$B$2:$B$500,$C3))</f>
        <v>3.92</v>
      </c>
      <c r="L3" s="10">
        <v>3.85</v>
      </c>
      <c r="M3" s="14">
        <f>SUMPRODUCT((Charts!$A$2:$A$500=$B3)*(Charts!$C$2:$C$500=CurYear)*((($C3="")+(Charts!$B$2:$B$500=$C3))&gt;0)*(COLUMN(Charts!$E$1:$P$1)-COLUMN(Charts!$E$1)&lt;CurMonthNum),Charts!$E$2:$P$500)/IF($D3="Average",CurMonthNum,1)</f>
        <v>23.97</v>
      </c>
      <c r="N3" s="10">
        <v>25.3</v>
      </c>
      <c r="O3" s="8" t="inlineStr">
        <is>
          <t xml:space="preserve">Monthly</t>
        </is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4">
        <f>K3-K5</f>
        <v>1.85</v>
      </c>
      <c r="L4" s="10">
        <v>1.54</v>
      </c>
      <c r="M4" s="14">
        <f>M3-M5</f>
        <v>14.38</v>
      </c>
      <c r="N4" s="10">
        <v>13.68</v>
      </c>
      <c r="O4" s="8" t="inlineStr">
        <is>
          <t xml:space="preserve">Pro-rated annual</t>
        </is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4">
        <f>IF($C5="",SUMIFS(INDEX(Charts!$E$2:$P$500,0,CurMonthNum),Charts!$A$2:$A$500,$B5,Charts!$C$2:$C$500,CurYear),SUMIFS(INDEX(Charts!$E$2:$P$500,0,CurMonthNum),Charts!$A$2:$A$500,$B5,Charts!$C$2:$C$500,CurYear,Charts!$B$2:$B$500,$C5))</f>
        <v>2.07</v>
      </c>
      <c r="L5" s="10">
        <v>2.31</v>
      </c>
      <c r="M5" s="14">
        <f>SUMPRODUCT((Charts!$A$2:$A$500=$B5)*(Charts!$C$2:$C$500=CurYear)*((($C5="")+(Charts!$B$2:$B$500=$C5))&gt;0)*(COLUMN(Charts!$E$1:$P$1)-COLUMN(Charts!$E$1)&lt;CurMonthNum),Charts!$E$2:$P$500)/IF($D5="Average",CurMonthNum,1)</f>
        <v>9.59</v>
      </c>
      <c r="N5" s="10">
        <v>11.62</v>
      </c>
      <c r="O5" s="8" t="inlineStr">
        <is>
          <t xml:space="preserve">Monthly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Q1 2024</t>
        </is>
      </c>
      <c r="D1" s="1" t="inlineStr">
        <is>
          <t xml:space="preserve">Q2 2024</t>
        </is>
      </c>
      <c r="E1" s="1" t="inlineStr">
        <is>
          <t xml:space="preserve">Q3 2024</t>
        </is>
      </c>
      <c r="F1" s="1" t="inlineStr">
        <is>
          <t xml:space="preserve">Q4 2024</t>
        </is>
      </c>
      <c r="G1" s="1" t="inlineStr">
        <is>
          <t xml:space="preserve">Q1 2025</t>
        </is>
      </c>
      <c r="H1" s="1" t="inlineStr">
        <is>
          <t xml:space="preserve">Q2 2025</t>
        </is>
      </c>
      <c r="I1" s="1" t="inlineStr">
        <is>
          <t xml:space="preserve">Q3 2025</t>
        </is>
      </c>
      <c r="J1" s="1" t="inlineStr">
        <is>
          <t xml:space="preserve">Q4 2025</t>
        </is>
      </c>
      <c r="K1" s="1" t="inlineStr">
        <is>
          <t xml:space="preserve">Q1 2026</t>
        </is>
      </c>
      <c r="L1" s="1" t="inlineStr">
        <is>
          <t xml:space="preserve">Q2 2026</t>
        </is>
      </c>
      <c r="M1" s="1" t="inlineStr">
        <is>
          <t xml:space="preserve">Q3 2026</t>
        </is>
      </c>
      <c r="N1" s="1" t="inlineStr">
        <is>
          <t xml:space="preserve">Q4 2026</t>
        </is>
      </c>
      <c r="O1" s="1" t="inlineStr">
        <is>
          <t xml:space="preserve">Q1 2027</t>
        </is>
      </c>
      <c r="P1" s="1" t="inlineStr">
        <is>
          <t xml:space="preserve">Q2 2027</t>
        </is>
      </c>
      <c r="Q1" s="1" t="inlineStr">
        <is>
          <t xml:space="preserve">Q3 2027</t>
        </is>
      </c>
      <c r="R1" s="1" t="inlineStr">
        <is>
          <t xml:space="preserve">Q4 2027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/>
      <c r="D2" s="10"/>
      <c r="E2" s="10"/>
      <c r="F2" s="10">
        <v>5.31</v>
      </c>
      <c r="G2" s="10">
        <v>5.62</v>
      </c>
      <c r="H2" s="10">
        <v>10.04</v>
      </c>
      <c r="I2" s="10">
        <v>10.52</v>
      </c>
      <c r="J2" s="10">
        <v>5.93</v>
      </c>
      <c r="K2" s="10">
        <v>6.08</v>
      </c>
      <c r="L2" s="10">
        <v>10.61</v>
      </c>
      <c r="M2" s="10">
        <v>10.94</v>
      </c>
      <c r="N2" s="10"/>
      <c r="O2" s="10"/>
      <c r="P2" s="10"/>
      <c r="Q2" s="10"/>
      <c r="R2" s="10"/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/>
      <c r="D4" s="10"/>
      <c r="E4" s="10"/>
      <c r="F4" s="10">
        <v>1.92</v>
      </c>
      <c r="G4" s="10">
        <v>2.01</v>
      </c>
      <c r="H4" s="10">
        <v>2.08</v>
      </c>
      <c r="I4" s="10">
        <v>2.17</v>
      </c>
      <c r="J4" s="10">
        <v>2.03</v>
      </c>
      <c r="K4" s="10">
        <v>2.11</v>
      </c>
      <c r="L4" s="10">
        <v>2.19</v>
      </c>
      <c r="M4" s="10">
        <v>2.24</v>
      </c>
      <c r="N4" s="10"/>
      <c r="O4" s="10"/>
      <c r="P4" s="10"/>
      <c r="Q4" s="10"/>
      <c r="R4" s="10"/>
    </row>
    <row r="5">
      <c r="A5" s="8" t="inlineStr">
        <is>
          <t xml:space="preserve">Property taxes</t>
        </is>
      </c>
      <c r="B5" s="8" t="inlineStr">
        <is>
          <t xml:space="preserve">Expense</t>
        </is>
      </c>
      <c r="C5" s="10"/>
      <c r="D5" s="10"/>
      <c r="E5" s="10"/>
      <c r="F5" s="10">
        <v>0.4</v>
      </c>
      <c r="G5" s="10">
        <v>0.4</v>
      </c>
      <c r="H5" s="10">
        <v>0.4</v>
      </c>
      <c r="I5" s="10">
        <v>0.4</v>
      </c>
      <c r="J5" s="10">
        <v>0.42</v>
      </c>
      <c r="K5" s="10">
        <v>0.45</v>
      </c>
      <c r="L5" s="10">
        <v>0.45</v>
      </c>
      <c r="M5" s="10">
        <v>0.45</v>
      </c>
      <c r="N5" s="10"/>
      <c r="O5" s="10"/>
      <c r="P5" s="10"/>
      <c r="Q5" s="10"/>
      <c r="R5" s="10"/>
    </row>
    <row r="6">
      <c r="A6" s="8" t="inlineStr">
        <is>
          <t xml:space="preserve">Other taxes</t>
        </is>
      </c>
      <c r="B6" s="8" t="inlineStr">
        <is>
          <t xml:space="preserve">Expense</t>
        </is>
      </c>
      <c r="C6" s="10"/>
      <c r="D6" s="10"/>
      <c r="E6" s="10"/>
      <c r="F6" s="10">
        <v>0.11</v>
      </c>
      <c r="G6" s="10">
        <v>0.09</v>
      </c>
      <c r="H6" s="10">
        <v>0.18</v>
      </c>
      <c r="I6" s="10">
        <v>0.21</v>
      </c>
      <c r="J6" s="10">
        <v>0.1</v>
      </c>
      <c r="K6" s="10">
        <v>0.08</v>
      </c>
      <c r="L6" s="10">
        <v>0.19</v>
      </c>
      <c r="M6" s="10">
        <v>0.22</v>
      </c>
      <c r="N6" s="10"/>
      <c r="O6" s="10"/>
      <c r="P6" s="10"/>
      <c r="Q6" s="10"/>
      <c r="R6" s="10"/>
    </row>
    <row r="7">
      <c r="A7" s="6" t="inlineStr">
        <is>
          <t xml:space="preserve">Total O&amp;M costs</t>
        </is>
      </c>
      <c r="B7" s="2" t="inlineStr">
        <is>
          <t xml:space="preserve">Calculated</t>
        </is>
      </c>
      <c r="C7" s="15" t="str">
        <f>IF(COUNT(C2:C3,C4:C6,C10:C11)=0,"",SUM(C4:C6))</f>
        <v/>
      </c>
      <c r="D7" s="15" t="str">
        <f>IF(COUNT(D2:D3,D4:D6,D10:D11)=0,"",SUM(D4:D6))</f>
        <v/>
      </c>
      <c r="E7" s="15" t="str">
        <f>IF(COUNT(E2:E3,E4:E6,E10:E11)=0,"",SUM(E4:E6))</f>
        <v/>
      </c>
      <c r="F7" s="15">
        <f>IF(COUNT(F2:F3,F4:F6,F10:F11)=0,"",SUM(F4:F6))</f>
        <v>2.43</v>
      </c>
      <c r="G7" s="15">
        <f>IF(COUNT(G2:G3,G4:G6,G10:G11)=0,"",SUM(G4:G6))</f>
        <v>2.5</v>
      </c>
      <c r="H7" s="15">
        <f>IF(COUNT(H2:H3,H4:H6,H10:H11)=0,"",SUM(H4:H6))</f>
        <v>2.66</v>
      </c>
      <c r="I7" s="15">
        <f>IF(COUNT(I2:I3,I4:I6,I10:I11)=0,"",SUM(I4:I6))</f>
        <v>2.78</v>
      </c>
      <c r="J7" s="15">
        <f>IF(COUNT(J2:J3,J4:J6,J10:J11)=0,"",SUM(J4:J6))</f>
        <v>2.55</v>
      </c>
      <c r="K7" s="15">
        <f>IF(COUNT(K2:K3,K4:K6,K10:K11)=0,"",SUM(K4:K6))</f>
        <v>2.64</v>
      </c>
      <c r="L7" s="15">
        <f>IF(COUNT(L2:L3,L4:L6,L10:L11)=0,"",SUM(L4:L6))</f>
        <v>2.83</v>
      </c>
      <c r="M7" s="15">
        <f>IF(COUNT(M2:M3,M4:M6,M10:M11)=0,"",SUM(M4:M6))</f>
        <v>2.91</v>
      </c>
      <c r="N7" s="15" t="str">
        <f>IF(COUNT(N2:N3,N4:N6,N10:N11)=0,"",SUM(N4:N6))</f>
        <v/>
      </c>
      <c r="O7" s="15" t="str">
        <f>IF(COUNT(O2:O3,O4:O6,O10:O11)=0,"",SUM(O4:O6))</f>
        <v/>
      </c>
      <c r="P7" s="15" t="str">
        <f>IF(COUNT(P2:P3,P4:P6,P10:P11)=0,"",SUM(P4:P6))</f>
        <v/>
      </c>
      <c r="Q7" s="15" t="str">
        <f>IF(COUNT(Q2:Q3,Q4:Q6,Q10:Q11)=0,"",SUM(Q4:Q6))</f>
        <v/>
      </c>
      <c r="R7" s="15" t="str">
        <f>IF(COUNT(R2:R3,R4:R6,R10:R11)=0,"",SUM(R4:R6))</f>
        <v/>
      </c>
    </row>
    <row r="8">
      <c r="A8" s="6" t="inlineStr">
        <is>
          <t xml:space="preserve">CFADS</t>
        </is>
      </c>
      <c r="B8" s="2" t="inlineStr">
        <is>
          <t xml:space="preserve">Calculated</t>
        </is>
      </c>
      <c r="C8" s="15" t="str">
        <f>IF(COUNT(C2:C3,C4:C6,C10:C11)=0,"",SUM(C2:C3)-C7)</f>
        <v/>
      </c>
      <c r="D8" s="15" t="str">
        <f>IF(COUNT(D2:D3,D4:D6,D10:D11)=0,"",SUM(D2:D3)-D7)</f>
        <v/>
      </c>
      <c r="E8" s="15" t="str">
        <f>IF(COUNT(E2:E3,E4:E6,E10:E11)=0,"",SUM(E2:E3)-E7)</f>
        <v/>
      </c>
      <c r="F8" s="15">
        <f>IF(COUNT(F2:F3,F4:F6,F10:F11)=0,"",SUM(F2:F3)-F7)</f>
        <v>2.88</v>
      </c>
      <c r="G8" s="15">
        <f>IF(COUNT(G2:G3,G4:G6,G10:G11)=0,"",SUM(G2:G3)-G7)</f>
        <v>3.12</v>
      </c>
      <c r="H8" s="15">
        <f>IF(COUNT(H2:H3,H4:H6,H10:H11)=0,"",SUM(H2:H3)-H7)</f>
        <v>7.38</v>
      </c>
      <c r="I8" s="15">
        <f>IF(COUNT(I2:I3,I4:I6,I10:I11)=0,"",SUM(I2:I3)-I7)</f>
        <v>7.74</v>
      </c>
      <c r="J8" s="15">
        <f>IF(COUNT(J2:J3,J4:J6,J10:J11)=0,"",SUM(J2:J3)-J7)</f>
        <v>3.38</v>
      </c>
      <c r="K8" s="15">
        <f>IF(COUNT(K2:K3,K4:K6,K10:K11)=0,"",SUM(K2:K3)-K7)</f>
        <v>3.44</v>
      </c>
      <c r="L8" s="15">
        <f>IF(COUNT(L2:L3,L4:L6,L10:L11)=0,"",SUM(L2:L3)-L7)</f>
        <v>7.78</v>
      </c>
      <c r="M8" s="15">
        <f>IF(COUNT(M2:M3,M4:M6,M10:M11)=0,"",SUM(M2:M3)-M7)</f>
        <v>8.03</v>
      </c>
      <c r="N8" s="15" t="str">
        <f>IF(COUNT(N2:N3,N4:N6,N10:N11)=0,"",SUM(N2:N3)-N7)</f>
        <v/>
      </c>
      <c r="O8" s="15" t="str">
        <f>IF(COUNT(O2:O3,O4:O6,O10:O11)=0,"",SUM(O2:O3)-O7)</f>
        <v/>
      </c>
      <c r="P8" s="15" t="str">
        <f>IF(COUNT(P2:P3,P4:P6,P10:P11)=0,"",SUM(P2:P3)-P7)</f>
        <v/>
      </c>
      <c r="Q8" s="15" t="str">
        <f>IF(COUNT(Q2:Q3,Q4:Q6,Q10:Q11)=0,"",SUM(Q2:Q3)-Q7)</f>
        <v/>
      </c>
      <c r="R8" s="15" t="str">
        <f>IF(COUNT(R2:R3,R4:R6,R10:R11)=0,"",SUM(R2:R3)-R7)</f>
        <v/>
      </c>
    </row>
    <row r="9"/>
    <row r="10">
      <c r="A10" s="8" t="inlineStr">
        <is>
          <t xml:space="preserve">Principal</t>
        </is>
      </c>
      <c r="B10" s="8" t="inlineStr">
        <is>
          <t xml:space="preserve">Debt service</t>
        </is>
      </c>
      <c r="C10" s="10"/>
      <c r="D10" s="10"/>
      <c r="E10" s="10"/>
      <c r="F10" s="10">
        <v>2.4</v>
      </c>
      <c r="G10" s="10">
        <v>2.42</v>
      </c>
      <c r="H10" s="10">
        <v>2.48</v>
      </c>
      <c r="I10" s="10">
        <v>2.51</v>
      </c>
      <c r="J10" s="10">
        <v>2.57</v>
      </c>
      <c r="K10" s="10">
        <v>2.62</v>
      </c>
      <c r="L10" s="10">
        <v>2.68</v>
      </c>
      <c r="M10" s="10">
        <v>2.74</v>
      </c>
      <c r="N10" s="10"/>
      <c r="O10" s="10"/>
      <c r="P10" s="10"/>
      <c r="Q10" s="10"/>
      <c r="R10" s="10"/>
    </row>
    <row r="11">
      <c r="A11" s="8" t="inlineStr">
        <is>
          <t xml:space="preserve">Interest</t>
        </is>
      </c>
      <c r="B11" s="8" t="inlineStr">
        <is>
          <t xml:space="preserve">Debt service</t>
        </is>
      </c>
      <c r="C11" s="10"/>
      <c r="D11" s="10"/>
      <c r="E11" s="10"/>
      <c r="F11" s="10">
        <v>1.91</v>
      </c>
      <c r="G11" s="10">
        <v>1.86</v>
      </c>
      <c r="H11" s="10">
        <v>1.81</v>
      </c>
      <c r="I11" s="10">
        <v>1.76</v>
      </c>
      <c r="J11" s="10">
        <v>1.7</v>
      </c>
      <c r="K11" s="10">
        <v>1.65</v>
      </c>
      <c r="L11" s="10">
        <v>1.6</v>
      </c>
      <c r="M11" s="10">
        <v>1.55</v>
      </c>
      <c r="N11" s="10"/>
      <c r="O11" s="10"/>
      <c r="P11" s="10"/>
      <c r="Q11" s="10"/>
      <c r="R11" s="10"/>
    </row>
    <row r="12">
      <c r="A12" s="6" t="inlineStr">
        <is>
          <t xml:space="preserve">Total debt service costs</t>
        </is>
      </c>
      <c r="B12" s="2" t="inlineStr">
        <is>
          <t xml:space="preserve">Calculated</t>
        </is>
      </c>
      <c r="C12" s="15" t="str">
        <f>IF(COUNT(C2:C3,C4:C6,C10:C11)=0,"",SUM(C10:C11))</f>
        <v/>
      </c>
      <c r="D12" s="15" t="str">
        <f>IF(COUNT(D2:D3,D4:D6,D10:D11)=0,"",SUM(D10:D11))</f>
        <v/>
      </c>
      <c r="E12" s="15" t="str">
        <f>IF(COUNT(E2:E3,E4:E6,E10:E11)=0,"",SUM(E10:E11))</f>
        <v/>
      </c>
      <c r="F12" s="15">
        <f>IF(COUNT(F2:F3,F4:F6,F10:F11)=0,"",SUM(F10:F11))</f>
        <v>4.31</v>
      </c>
      <c r="G12" s="15">
        <f>IF(COUNT(G2:G3,G4:G6,G10:G11)=0,"",SUM(G10:G11))</f>
        <v>4.28</v>
      </c>
      <c r="H12" s="15">
        <f>IF(COUNT(H2:H3,H4:H6,H10:H11)=0,"",SUM(H10:H11))</f>
        <v>4.29</v>
      </c>
      <c r="I12" s="15">
        <f>IF(COUNT(I2:I3,I4:I6,I10:I11)=0,"",SUM(I10:I11))</f>
        <v>4.27</v>
      </c>
      <c r="J12" s="15">
        <f>IF(COUNT(J2:J3,J4:J6,J10:J11)=0,"",SUM(J10:J11))</f>
        <v>4.27</v>
      </c>
      <c r="K12" s="15">
        <f>IF(COUNT(K2:K3,K4:K6,K10:K11)=0,"",SUM(K10:K11))</f>
        <v>4.27</v>
      </c>
      <c r="L12" s="15">
        <f>IF(COUNT(L2:L3,L4:L6,L10:L11)=0,"",SUM(L10:L11))</f>
        <v>4.28</v>
      </c>
      <c r="M12" s="15">
        <f>IF(COUNT(M2:M3,M4:M6,M10:M11)=0,"",SUM(M10:M11))</f>
        <v>4.29</v>
      </c>
      <c r="N12" s="15" t="str">
        <f>IF(COUNT(N2:N3,N4:N6,N10:N11)=0,"",SUM(N10:N11))</f>
        <v/>
      </c>
      <c r="O12" s="15" t="str">
        <f>IF(COUNT(O2:O3,O4:O6,O10:O11)=0,"",SUM(O10:O11))</f>
        <v/>
      </c>
      <c r="P12" s="15" t="str">
        <f>IF(COUNT(P2:P3,P4:P6,P10:P11)=0,"",SUM(P10:P11))</f>
        <v/>
      </c>
      <c r="Q12" s="15" t="str">
        <f>IF(COUNT(Q2:Q3,Q4:Q6,Q10:Q11)=0,"",SUM(Q10:Q11))</f>
        <v/>
      </c>
      <c r="R12" s="15" t="str">
        <f>IF(COUNT(R2:R3,R4:R6,R10:R11)=0,"",SUM(R10:R11))</f>
        <v/>
      </c>
    </row>
    <row r="13"/>
    <row r="14">
      <c r="A14" s="6" t="inlineStr">
        <is>
          <t xml:space="preserve">DSCR - quarter</t>
        </is>
      </c>
      <c r="B14" s="2" t="inlineStr">
        <is>
          <t xml:space="preserve">Calculated</t>
        </is>
      </c>
      <c r="C14" s="16" t="str">
        <f>IFERROR(C8/C12,"")</f>
        <v/>
      </c>
      <c r="D14" s="16" t="str">
        <f>IFERROR(D8/D12,"")</f>
        <v/>
      </c>
      <c r="E14" s="16" t="str">
        <f>IFERROR(E8/E12,"")</f>
        <v/>
      </c>
      <c r="F14" s="16">
        <f>IFERROR(F8/F12,"")</f>
        <v>0.668213</v>
      </c>
      <c r="G14" s="16">
        <f>IFERROR(G8/G12,"")</f>
        <v>0.728972</v>
      </c>
      <c r="H14" s="16">
        <f>IFERROR(H8/H12,"")</f>
        <v>1.72028</v>
      </c>
      <c r="I14" s="16">
        <f>IFERROR(I8/I12,"")</f>
        <v>1.812646</v>
      </c>
      <c r="J14" s="16">
        <f>IFERROR(J8/J12,"")</f>
        <v>0.791569</v>
      </c>
      <c r="K14" s="16">
        <f>IFERROR(K8/K12,"")</f>
        <v>0.805621</v>
      </c>
      <c r="L14" s="16">
        <f>IFERROR(L8/L12,"")</f>
        <v>1.817757</v>
      </c>
      <c r="M14" s="16">
        <f>IFERROR(M8/M12,"")</f>
        <v>1.871795</v>
      </c>
      <c r="N14" s="16" t="str">
        <f>IFERROR(N8/N12,"")</f>
        <v/>
      </c>
      <c r="O14" s="16" t="str">
        <f>IFERROR(O8/O12,"")</f>
        <v/>
      </c>
      <c r="P14" s="16" t="str">
        <f>IFERROR(P8/P12,"")</f>
        <v/>
      </c>
      <c r="Q14" s="16" t="str">
        <f>IFERROR(Q8/Q12,"")</f>
        <v/>
      </c>
      <c r="R14" s="16" t="str">
        <f>IFERROR(R8/R12,"")</f>
        <v/>
      </c>
    </row>
    <row r="15">
      <c r="A15" s="6" t="inlineStr">
        <is>
          <t xml:space="preserve">DSCR - LTM</t>
        </is>
      </c>
      <c r="B15" s="2" t="inlineStr">
        <is>
          <t xml:space="preserve">Calculated</t>
        </is>
      </c>
      <c r="C15" s="16" t="str">
        <f>""</f>
        <v/>
      </c>
      <c r="D15" s="16" t="str">
        <f>""</f>
        <v/>
      </c>
      <c r="E15" s="16" t="str">
        <f>""</f>
        <v/>
      </c>
      <c r="F15" s="16" t="str">
        <f>IF(COUNT(C8:F8)&lt;4,"",IFERROR(SUM(C8:F8)/SUM(C12:F12),""))</f>
        <v/>
      </c>
      <c r="G15" s="16" t="str">
        <f>IF(COUNT(D8:G8)&lt;4,"",IFERROR(SUM(D8:G8)/SUM(D12:G12),""))</f>
        <v/>
      </c>
      <c r="H15" s="16" t="str">
        <f>IF(COUNT(E8:H8)&lt;4,"",IFERROR(SUM(E8:H8)/SUM(E12:H12),""))</f>
        <v/>
      </c>
      <c r="I15" s="16">
        <f>IF(COUNT(F8:I8)&lt;4,"",IFERROR(SUM(F8:I8)/SUM(F12:I12),""))</f>
        <v>1.231487</v>
      </c>
      <c r="J15" s="16">
        <f>IF(COUNT(G8:J8)&lt;4,"",IFERROR(SUM(G8:J8)/SUM(G12:J12),""))</f>
        <v>1.263589</v>
      </c>
      <c r="K15" s="16">
        <f>IF(COUNT(H8:K8)&lt;4,"",IFERROR(SUM(H8:K8)/SUM(H12:K12),""))</f>
        <v>1.283041</v>
      </c>
      <c r="L15" s="16">
        <f>IF(COUNT(I8:L8)&lt;4,"",IFERROR(SUM(I8:L8)/SUM(I12:L12),""))</f>
        <v>1.307197</v>
      </c>
      <c r="M15" s="16">
        <f>IF(COUNT(J8:M8)&lt;4,"",IFERROR(SUM(J8:M8)/SUM(J12:M12),""))</f>
        <v>1.322618</v>
      </c>
      <c r="N15" s="16" t="str">
        <f>IF(COUNT(K8:N8)&lt;4,"",IFERROR(SUM(K8:N8)/SUM(K12:N12),""))</f>
        <v/>
      </c>
      <c r="O15" s="16" t="str">
        <f>IF(COUNT(L8:O8)&lt;4,"",IFERROR(SUM(L8:O8)/SUM(L12:O12),""))</f>
        <v/>
      </c>
      <c r="P15" s="16" t="str">
        <f>IF(COUNT(M8:P8)&lt;4,"",IFERROR(SUM(M8:P8)/SUM(M12:P12),""))</f>
        <v/>
      </c>
      <c r="Q15" s="16" t="str">
        <f>IF(COUNT(N8:Q8)&lt;4,"",IFERROR(SUM(N8:Q8)/SUM(N12:Q12),""))</f>
        <v/>
      </c>
      <c r="R15" s="16" t="str">
        <f>IF(COUNT(O8:R8)&lt;4,"",IFERROR(SUM(O8:R8)/SUM(O12:R12),""))</f>
        <v/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8.55</v>
      </c>
      <c r="C2" s="10">
        <v>8.62</v>
      </c>
    </row>
    <row r="3">
      <c r="A3" s="8" t="inlineStr">
        <is>
          <t xml:space="preserve">O&amp;M reserve</t>
        </is>
      </c>
      <c r="B3" s="10">
        <v>2.1</v>
      </c>
      <c r="C3" s="10">
        <v>1.85</v>
      </c>
    </row>
    <row r="4">
      <c r="A4" s="8"/>
      <c r="B4" s="10"/>
      <c r="C4" s="10"/>
    </row>
    <row r="5">
      <c r="A5" s="8"/>
      <c r="B5" s="10"/>
      <c r="C5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Seasonality</t>
        </is>
      </c>
      <c r="B2" s="8" t="inlineStr">
        <is>
          <t xml:space="preserve">Q1 and Q4 coverage falls below 1.0x on a stand-alone basis every year; the covenants test on an LTM basis.</t>
        </is>
      </c>
    </row>
    <row r="3">
      <c r="A3" s="8" t="inlineStr">
        <is>
          <t xml:space="preserve">Next test</t>
        </is>
      </c>
      <c r="B3" s="8" t="inlineStr">
        <is>
          <t xml:space="preserve">Q3 2026 test at September 30, 2026.  Distributions require 1.20x LTM.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