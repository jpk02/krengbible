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Settings" sheetId="2" r:id="rId2"/>
    <sheet name="Charts" sheetId="3" r:id="rId3"/>
    <sheet name="Footnotes" sheetId="4" r:id="rId4"/>
    <sheet name="Table" sheetId="5" r:id="rId5"/>
    <sheet name="Commentary" sheetId="6" r:id="rId6"/>
    <sheet name="Side Table" sheetId="7" r:id="rId7"/>
    <sheet name="Debt Service" sheetId="8" r:id="rId8"/>
    <sheet name="Reserves" sheetId="9" r:id="rId9"/>
    <sheet name="DSCR Notes" sheetId="10" r:id="rId10"/>
    <sheet name="Lists" sheetId="11" state="hidden" r:id="rId11"/>
  </sheets>
  <definedNames>
    <definedName name="ChartNames">OFFSET(Lists!$A$2,0,0,MAX(1,COUNTIF(Lists!$A$2:$A$101,"?*")),1)</definedName>
    <definedName name="CurYear">Settings!$B$6</definedName>
    <definedName name="CurMonthNum">IF(ISNUMBER(Settings!$B$8),Settings!$B$8,MATCH(LEFT(Settings!$B$8,3),{"Jan","Feb","Mar","Apr","May","Jun","Jul","Aug","Sep","Oct","Nov","Dec"},0))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"/>
    <numFmt numFmtId="166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3B6E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B6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DF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3" fillId="4" borderId="0" xfId="0" applyFont="1" applyFill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3" fillId="0" borderId="1" xfId="0" applyNumberFormat="1" applyFont="1" applyBorder="1"/>
    <xf numFmtId="166" fontId="3" fillId="0" borderId="1" xfId="0" applyNumberFormat="1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0" customWidth="1"/>
  </cols>
  <sheetData>
    <row r="1">
      <c r="A1" s="7" t="inlineStr">
        <is>
          <t xml:space="preserve">Monthly Dashboard Inputs</t>
        </is>
      </c>
    </row>
    <row r="2"/>
    <row r="3">
      <c r="A3" s="6" t="inlineStr">
        <is>
          <t xml:space="preserve">How to use</t>
        </is>
      </c>
    </row>
    <row r="4">
      <c r="A4" t="inlineStr">
        <is>
          <t xml:space="preserve">1.  Fill in the Settings, Charts, Footnotes, Table, Commentary and Side Table tabs.  Blue text on yellow = inputs.</t>
        </is>
      </c>
    </row>
    <row r="5">
      <c r="A5" t="inlineStr">
        <is>
          <t xml:space="preserve">2.  Save this workbook.</t>
        </is>
      </c>
    </row>
    <row r="6">
      <c r="A6" t="inlineStr">
        <is>
          <t xml:space="preserve">3.  Open the Dashboard Builder page in Edge or Chrome and drag this workbook onto it.</t>
        </is>
      </c>
    </row>
    <row r="7">
      <c r="A7" t="inlineStr">
        <is>
          <t xml:space="preserve">4.  Click "Save as PDF" (or press Ctrl+P), choose "Save as PDF", and save.</t>
        </is>
      </c>
    </row>
    <row r="8"/>
    <row r="9">
      <c r="A9" s="6" t="inlineStr">
        <is>
          <t xml:space="preserve">Tabs</t>
        </is>
      </c>
    </row>
    <row r="10">
      <c r="A10" t="inlineStr">
        <is>
          <t xml:space="preserve">Settings  -  titles, labels, footer, and layout options.  The Notes column explains each one.</t>
        </is>
      </c>
    </row>
    <row r="11">
      <c r="A11" t="inlineStr">
        <is>
          <t xml:space="preserve">               "Current month" drives the month and YTD columns of the table.  Current-year chart values after it are not shown.</t>
        </is>
      </c>
    </row>
    <row r="12">
      <c r="A12" t="inlineStr">
        <is>
          <t xml:space="preserve">Charts  -  one row per chart / component / year with Jan-Dec values.  Leave months blank where there is no data yet.</t>
        </is>
      </c>
    </row>
    <row r="13">
      <c r="A13" t="inlineStr">
        <is>
          <t xml:space="preserve">               Each distinct "Chart" name becomes its own chart.  Rows with a "Component" (e.g. Contracted, Merchant) are stacked.</t>
        </is>
      </c>
    </row>
    <row r="14">
      <c r="A14" t="inlineStr">
        <is>
          <t xml:space="preserve">               Every chart shows the Prior year and Current year from Settings side by side, month by month,</t>
        </is>
      </c>
    </row>
    <row r="15">
      <c r="A15" t="inlineStr">
        <is>
          <t xml:space="preserve">               plus a YTD section on the right (Jan through Current month, both years).  "YTD Method": Sum (default),</t>
        </is>
      </c>
    </row>
    <row r="16">
      <c r="A16" t="inlineStr">
        <is>
          <t xml:space="preserve">               Average (for percentages), or None to leave the YTD section off that chart.</t>
        </is>
      </c>
    </row>
    <row r="17">
      <c r="A17" t="inlineStr">
        <is>
          <t xml:space="preserve">               Enter full precision here (e.g. 3.92); the Decimals column only controls how the chart labels are rounded.</t>
        </is>
      </c>
    </row>
    <row r="18">
      <c r="A18" t="inlineStr">
        <is>
          <t xml:space="preserve">Footnotes  -  explain a month on a chart.  Pick the chart from the dropdown, or leave "Chart" blank to mark that month on every chart.</t>
        </is>
      </c>
    </row>
    <row r="19">
      <c r="A19" t="inlineStr">
        <is>
          <t xml:space="preserve">               The month label gets a small number and the note prints under the charts.</t>
        </is>
      </c>
    </row>
    <row r="20">
      <c r="A20" t="inlineStr">
        <is>
          <t xml:space="preserve">Table  -  any number of rows.  The variance is calculated for you; "Better When" sets whether it shows green or red.</t>
        </is>
      </c>
    </row>
    <row r="21">
      <c r="A21" t="inlineStr">
        <is>
          <t xml:space="preserve">               Month Actual and YTD Actual (black cells) are formulas: rows with a "From Chart" sum that chart on the Charts tab for the</t>
        </is>
      </c>
    </row>
    <row r="22">
      <c r="A22" t="inlineStr">
        <is>
          <t xml:space="preserve">               Current year, for the Current month and Jan through it (add a "From Component" to use one component, e.g. Contracted).</t>
        </is>
      </c>
    </row>
    <row r="23">
      <c r="A23" t="inlineStr">
        <is>
          <t xml:space="preserve">               O&amp;M expense defaults to Revenue - Operating income.  Type a number over any formula to override it; the PDF uses the cell value.</t>
        </is>
      </c>
    </row>
    <row r="24">
      <c r="A24" t="inlineStr">
        <is>
          <t xml:space="preserve">               Rows with no "From Chart" and no formula: type the actuals yourself.</t>
        </is>
      </c>
    </row>
    <row r="25">
      <c r="A25" t="inlineStr">
        <is>
          <t xml:space="preserve">               "EV Basis": if the EV Case values were pro-rated from quarterly, semi-annual or annual figures, pick that here.  The EV Case</t>
        </is>
      </c>
    </row>
    <row r="26">
      <c r="A26" t="inlineStr">
        <is>
          <t xml:space="preserve">               values get a small letter (a, b, ...) and a footnote under the table explains it.  Monthly (the default) adds nothing.</t>
        </is>
      </c>
    </row>
    <row r="27">
      <c r="A27" t="inlineStr">
        <is>
          <t xml:space="preserve">               "YTD Method": Sum (default) adds the months up; Average averages them (use for percentages like capacity factor).</t>
        </is>
      </c>
    </row>
    <row r="28">
      <c r="A28" t="inlineStr">
        <is>
          <t xml:space="preserve">               Month EV Case and YTD EV Case are always typed in.</t>
        </is>
      </c>
    </row>
    <row r="29">
      <c r="A29" t="inlineStr">
        <is>
          <t xml:space="preserve">Commentary  -  Heading + Text pairs for the bottom-right box.</t>
        </is>
      </c>
    </row>
    <row r="30">
      <c r="A30" t="inlineStr">
        <is>
          <t xml:space="preserve">Side Table  -  a free-form grid for the bottom-right box.  Row 1 = column headers.  Values print exactly as they appear in Excel.</t>
        </is>
      </c>
    </row>
    <row r="31">
      <c r="A31" t="inlineStr">
        <is>
          <t xml:space="preserve">Debt Service  -  a running quarterly history for page 2: one column per quarter (Q1 2024 to Q4 2027).  Fill in each quarter when it closes;</t>
        </is>
      </c>
    </row>
    <row r="32">
      <c r="A32" t="inlineStr">
        <is>
          <t xml:space="preserve">               nothing ever needs shifting.  Page 2 shows the last completed quarter before the Current month's quarter and the 3 before it</t>
        </is>
      </c>
    </row>
    <row r="33">
      <c r="A33" t="inlineStr">
        <is>
          <t xml:space="preserve">               (Current month Aug -&gt; through Q2; Dec -&gt; through Q3).  Add more quarters by adding columns with labels like "Q1 2028".</t>
        </is>
      </c>
    </row>
    <row r="34">
      <c r="A34" t="inlineStr">
        <is>
          <t xml:space="preserve">               Role: Revenue, Expense or Debt service.  Enter expenses and debt service as positive numbers.  The black "Calculated</t>
        </is>
      </c>
    </row>
    <row r="35">
      <c r="A35" t="inlineStr">
        <is>
          <t xml:space="preserve">               rows do the math: Total O&amp;M costs, CFADS = Revenue - Total O&amp;M costs, Total debt service costs, DSCR, and DSCR - LTM</t>
        </is>
      </c>
    </row>
    <row r="36">
      <c r="A36" t="inlineStr">
        <is>
          <t xml:space="preserve">               (last 4 quarters of CFADS / last 4 quarters of debt service).  To add a line (e.g. LC fees), insert the row between two</t>
        </is>
      </c>
    </row>
    <row r="37">
      <c r="A37" t="inlineStr">
        <is>
          <t xml:space="preserve">               rows of the same block so the totals' ranges grow to include it.  The PDF recalculates from the input rows.</t>
        </is>
      </c>
    </row>
    <row r="38">
      <c r="A38" t="inlineStr">
        <is>
          <t xml:space="preserve">Reserves  -  one row per reserve account (DSR, O&amp;M reserve, ...): Required balance and Balance available.  Shown on page 2 below the DSCR chart</t>
        </is>
      </c>
    </row>
    <row r="39">
      <c r="A39" t="inlineStr">
        <is>
          <t xml:space="preserve">               with the % funded; anything under 100% is flagged.</t>
        </is>
      </c>
    </row>
    <row r="40">
      <c r="A40" t="inlineStr">
        <is>
          <t xml:space="preserve">DSCR Notes  -  optional Heading + Text pairs shown on page 2 below the reserves.</t>
        </is>
      </c>
    </row>
    <row r="41"/>
    <row r="42">
      <c r="A42" s="6" t="inlineStr">
        <is>
          <t xml:space="preserve">Tips</t>
        </is>
      </c>
    </row>
    <row r="43">
      <c r="A43" t="inlineStr">
        <is>
          <t xml:space="preserve">-  Do not rename the tabs or the column headers in row 1.  You can add, delete or reorder rows freely.</t>
        </is>
      </c>
    </row>
    <row r="44">
      <c r="A44" t="inlineStr">
        <is>
          <t xml:space="preserve">-  Copy this workbook for each asset (one workbook = one dashboard).</t>
        </is>
      </c>
    </row>
    <row r="45">
      <c r="A45" t="inlineStr">
        <is>
          <t xml:space="preserve">-  The Chart dropdowns list the names on the Charts tab automatically (from a hidden "Lists" tab).  Add a chart there and it appears in the dropdowns.</t>
        </is>
      </c>
    </row>
    <row r="46">
      <c r="A46" t="inlineStr">
        <is>
          <t xml:space="preserve">-  Your data never leaves your computer: the builder page reads the file locally in the browser.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70" customWidth="1"/>
    <col min="3" max="3" width="90" customWidth="1"/>
  </cols>
  <sheetData>
    <row r="1">
      <c r="A1" s="1" t="inlineStr">
        <is>
          <t xml:space="preserve">Setting</t>
        </is>
      </c>
      <c r="B1" s="1" t="inlineStr">
        <is>
          <t xml:space="preserve">Value</t>
        </is>
      </c>
      <c r="C1" s="1" t="inlineStr">
        <is>
          <t xml:space="preserve">Notes</t>
        </is>
      </c>
    </row>
    <row r="2">
      <c r="A2" s="6" t="inlineStr">
        <is>
          <t xml:space="preserve">Title</t>
        </is>
      </c>
      <c r="B2" s="8" t="inlineStr">
        <is>
          <t xml:space="preserve">BLUEFIELD SOLAR HOLDINGS</t>
        </is>
      </c>
      <c r="C2" s="2" t="inlineStr">
        <is>
          <t xml:space="preserve">Large text in the top banner.</t>
        </is>
      </c>
    </row>
    <row r="3">
      <c r="A3" s="6" t="inlineStr">
        <is>
          <t xml:space="preserve">Subtitle</t>
        </is>
      </c>
      <c r="B3" s="8" t="inlineStr">
        <is>
          <t xml:space="preserve">August 2026 Monthly Monitoring Dashboard</t>
        </is>
      </c>
      <c r="C3" s="2" t="inlineStr">
        <is>
          <t xml:space="preserve">Smaller line under the title.</t>
        </is>
      </c>
    </row>
    <row r="4">
      <c r="A4" s="6" t="inlineStr">
        <is>
          <t xml:space="preserve">Period label</t>
        </is>
      </c>
      <c r="B4" s="8" t="inlineStr">
        <is>
          <t xml:space="preserve">MONTH ENDED AUGUST 31, 2026</t>
        </is>
      </c>
      <c r="C4" s="2" t="inlineStr">
        <is>
          <t xml:space="preserve">Shown at the top right of the banner.</t>
        </is>
      </c>
    </row>
    <row r="5">
      <c r="A5" s="6" t="inlineStr">
        <is>
          <t xml:space="preserve">Header color</t>
        </is>
      </c>
      <c r="B5" s="8" t="inlineStr">
        <is>
          <t xml:space="preserve">#1F3B6E</t>
        </is>
      </c>
      <c r="C5" s="2" t="inlineStr">
        <is>
          <t xml:space="preserve">Hex color for the banner and section headers, e.g. #1F3B6E.</t>
        </is>
      </c>
    </row>
    <row r="6">
      <c r="A6" s="6" t="inlineStr">
        <is>
          <t xml:space="preserve">Current year</t>
        </is>
      </c>
      <c r="B6" s="8">
        <v>2026</v>
      </c>
      <c r="C6" s="2" t="inlineStr">
        <is>
          <t xml:space="preserve">Year whose values are the solid bars.</t>
        </is>
      </c>
    </row>
    <row r="7">
      <c r="A7" s="6" t="inlineStr">
        <is>
          <t xml:space="preserve">Prior year</t>
        </is>
      </c>
      <c r="B7" s="8">
        <v>2025</v>
      </c>
      <c r="C7" s="2" t="inlineStr">
        <is>
          <t xml:space="preserve">Year whose values are the lighter bars next to them.</t>
        </is>
      </c>
    </row>
    <row r="8">
      <c r="A8" s="6" t="inlineStr">
        <is>
          <t xml:space="preserve">Current month</t>
        </is>
      </c>
      <c r="B8" s="8" t="inlineStr">
        <is>
          <t xml:space="preserve">Aug</t>
        </is>
      </c>
      <c r="C8" s="2" t="inlineStr">
        <is>
          <t xml:space="preserve">The month being reported.  Drives Month Actual and YTD (Jan through this month) in the table.</t>
        </is>
      </c>
    </row>
    <row r="9">
      <c r="A9" s="6" t="inlineStr">
        <is>
          <t xml:space="preserve">Chart section title</t>
        </is>
      </c>
      <c r="B9" s="8" t="inlineStr">
        <is>
          <t xml:space="preserve">Monthly Performance - 2026 vs. 2025</t>
        </is>
      </c>
      <c r="C9" s="2" t="inlineStr">
        <is>
          <t xml:space="preserve">Header above the charts.</t>
        </is>
      </c>
    </row>
    <row r="10">
      <c r="A10" s="6" t="inlineStr">
        <is>
          <t xml:space="preserve">Data labels</t>
        </is>
      </c>
      <c r="B10" s="8" t="inlineStr">
        <is>
          <t xml:space="preserve">Both years</t>
        </is>
      </c>
      <c r="C10" s="2" t="inlineStr">
        <is>
          <t xml:space="preserve">Which bars get value labels: Both years / This year / None.</t>
        </is>
      </c>
    </row>
    <row r="11">
      <c r="A11" s="6" t="inlineStr">
        <is>
          <t xml:space="preserve">Chart columns</t>
        </is>
      </c>
      <c r="B11" s="8" t="inlineStr">
        <is>
          <t xml:space="preserve">Auto</t>
        </is>
      </c>
      <c r="C11" s="2" t="inlineStr">
        <is>
          <t xml:space="preserve">Auto = 1 column for up to 3 charts, 2 columns for more.</t>
        </is>
      </c>
    </row>
    <row r="12">
      <c r="A12" s="6" t="inlineStr">
        <is>
          <t xml:space="preserve">Table title</t>
        </is>
      </c>
      <c r="B12" s="8" t="inlineStr">
        <is>
          <t xml:space="preserve">Operating and Financial Performance vs. EV Case - YTD &amp; Monthly</t>
        </is>
      </c>
      <c r="C12" s="2" t="inlineStr">
        <is>
          <t xml:space="preserve">Header above the comparison table.</t>
        </is>
      </c>
    </row>
    <row r="13">
      <c r="A13" s="6" t="inlineStr">
        <is>
          <t xml:space="preserve">Month heading</t>
        </is>
      </c>
      <c r="B13" s="8"/>
      <c r="C13" s="2" t="inlineStr">
        <is>
          <t xml:space="preserve">Heading over the monthly columns.  Leave blank to use the Current month (e.g. August).</t>
        </is>
      </c>
    </row>
    <row r="14">
      <c r="A14" s="6" t="inlineStr">
        <is>
          <t xml:space="preserve">YTD heading</t>
        </is>
      </c>
      <c r="B14" s="8"/>
      <c r="C14" s="2" t="inlineStr">
        <is>
          <t xml:space="preserve">Heading over the year-to-date columns.  Leave blank for "YTD Through August".</t>
        </is>
      </c>
    </row>
    <row r="15">
      <c r="A15" s="6" t="inlineStr">
        <is>
          <t xml:space="preserve">Actual label</t>
        </is>
      </c>
      <c r="B15" s="8" t="inlineStr">
        <is>
          <t xml:space="preserve">Actual</t>
        </is>
      </c>
      <c r="C15" s="2" t="inlineStr">
        <is>
          <t xml:space="preserve">Column label for actual values.</t>
        </is>
      </c>
    </row>
    <row r="16">
      <c r="A16" s="6" t="inlineStr">
        <is>
          <t xml:space="preserve">Comparison label</t>
        </is>
      </c>
      <c r="B16" s="8" t="inlineStr">
        <is>
          <t xml:space="preserve">EV Case</t>
        </is>
      </c>
      <c r="C16" s="2" t="inlineStr">
        <is>
          <t xml:space="preserve">Column label for the comparison case (EV Case, Budget, Forecast...).</t>
        </is>
      </c>
    </row>
    <row r="17">
      <c r="A17" s="6" t="inlineStr">
        <is>
          <t xml:space="preserve">Variance label</t>
        </is>
      </c>
      <c r="B17" s="8" t="inlineStr">
        <is>
          <t xml:space="preserve">Variance</t>
        </is>
      </c>
      <c r="C17" s="2" t="inlineStr">
        <is>
          <t xml:space="preserve">Column label for the variance.</t>
        </is>
      </c>
    </row>
    <row r="18">
      <c r="A18" s="6" t="inlineStr">
        <is>
          <t xml:space="preserve">Negative numbers</t>
        </is>
      </c>
      <c r="B18" s="8" t="inlineStr">
        <is>
          <t xml:space="preserve">Parentheses</t>
        </is>
      </c>
      <c r="C18" s="2" t="inlineStr">
        <is>
          <t xml:space="preserve">Parentheses: (1.8)   Minus sign: -1.8</t>
        </is>
      </c>
    </row>
    <row r="19">
      <c r="A19" s="6" t="inlineStr">
        <is>
          <t xml:space="preserve">Side panel type</t>
        </is>
      </c>
      <c r="B19" s="8" t="inlineStr">
        <is>
          <t xml:space="preserve">Commentary</t>
        </is>
      </c>
      <c r="C19" s="2" t="inlineStr">
        <is>
          <t xml:space="preserve">Commentary / Table / Table + Commentary / None.</t>
        </is>
      </c>
    </row>
    <row r="20">
      <c r="A20" s="6" t="inlineStr">
        <is>
          <t xml:space="preserve">Side panel title</t>
        </is>
      </c>
      <c r="B20" s="8" t="inlineStr">
        <is>
          <t xml:space="preserve">Maintenance Commentary</t>
        </is>
      </c>
      <c r="C20" s="2" t="inlineStr">
        <is>
          <t xml:space="preserve">Header of the bottom-right box.</t>
        </is>
      </c>
    </row>
    <row r="21">
      <c r="A21" s="6" t="inlineStr">
        <is>
          <t xml:space="preserve">Side panel width %</t>
        </is>
      </c>
      <c r="B21" s="8">
        <v>30</v>
      </c>
      <c r="C21" s="2" t="inlineStr">
        <is>
          <t xml:space="preserve">Width of the bottom-right box as a share of the page (15-50).</t>
        </is>
      </c>
    </row>
    <row r="22">
      <c r="A22" s="6" t="inlineStr">
        <is>
          <t xml:space="preserve">Footer</t>
        </is>
      </c>
      <c r="B22" s="8" t="inlineStr">
        <is>
          <t xml:space="preserve">Sources: Bluefield monthly operating reports; 2026 EV Case model.  Fictional example data.</t>
        </is>
      </c>
      <c r="C22" s="2" t="inlineStr">
        <is>
          <t xml:space="preserve">Sources line at the bottom of the page.</t>
        </is>
      </c>
    </row>
    <row r="23">
      <c r="A23" s="6" t="inlineStr">
        <is>
          <t xml:space="preserve">Page size</t>
        </is>
      </c>
      <c r="B23" s="8" t="inlineStr">
        <is>
          <t xml:space="preserve">Letter</t>
        </is>
      </c>
      <c r="C23" s="2" t="inlineStr">
        <is>
          <t xml:space="preserve">Letter or A4 (always landscape).</t>
        </is>
      </c>
    </row>
    <row r="24">
      <c r="A24" s="6" t="inlineStr">
        <is>
          <t xml:space="preserve">Pro-rated note</t>
        </is>
      </c>
      <c r="B24" s="8"/>
      <c r="C24" s="2" t="inlineStr">
        <is>
          <t xml:space="preserve">Optional wording for the EV Basis footnote under the table.  Blank = "EV Case pro-rated from quarterly figures on a straight-line monthly basis; it does not reflect seasonality within the quarter."  You can use {basis} (quarterly / semi-annual / annual), {period} (quarter / half-year / year) and {comparison} (the Comparison label).</t>
        </is>
      </c>
    </row>
    <row r="25">
      <c r="A25" s="6" t="inlineStr">
        <is>
          <t xml:space="preserve">Include DSCR page</t>
        </is>
      </c>
      <c r="B25" s="8" t="inlineStr">
        <is>
          <t xml:space="preserve">Auto</t>
        </is>
      </c>
      <c r="C25" s="2" t="inlineStr">
        <is>
          <t xml:space="preserve">Auto = add page 2 (Debt Service Coverage) when the Debt Service tab has data.  Yes / No to force it.</t>
        </is>
      </c>
    </row>
    <row r="26">
      <c r="A26" s="6" t="inlineStr">
        <is>
          <t xml:space="preserve">DSCR page title</t>
        </is>
      </c>
      <c r="B26" s="8" t="inlineStr">
        <is>
          <t xml:space="preserve">Debt Service Coverage - LTM Basis</t>
        </is>
      </c>
      <c r="C26" s="2" t="inlineStr">
        <is>
          <t xml:space="preserve">Header above the DSCR charts on page 2.</t>
        </is>
      </c>
    </row>
    <row r="27">
      <c r="A27" s="6" t="inlineStr">
        <is>
          <t xml:space="preserve">Quarters shown</t>
        </is>
      </c>
      <c r="B27" s="8">
        <v>8</v>
      </c>
      <c r="C27" s="2" t="inlineStr">
        <is>
          <t xml:space="preserve">How many of the most recent quarters page 2 shows (1-12), as far as the Debt Service tab has data.  LTM DSCR needs the 3 quarters before each one.</t>
        </is>
      </c>
    </row>
    <row r="28">
      <c r="A28" s="6" t="inlineStr">
        <is>
          <t xml:space="preserve">Distribution lock-up DSCR</t>
        </is>
      </c>
      <c r="B28" s="8">
        <v>1.2</v>
      </c>
      <c r="C28" s="2" t="inlineStr">
        <is>
          <t xml:space="preserve">Distribution lock-up covenant, e.g. 1.20.  Drawn as a reference line.  Leave blank and it does not appear anywhere.</t>
        </is>
      </c>
    </row>
    <row r="29">
      <c r="A29" s="6" t="inlineStr">
        <is>
          <t xml:space="preserve">Default DSCR</t>
        </is>
      </c>
      <c r="B29" s="8">
        <v>1</v>
      </c>
      <c r="C29" s="2" t="inlineStr">
        <is>
          <t xml:space="preserve">Default covenant, e.g. 1.10.  Drawn as a reference line.  Leave blank and it does not appear anywhere.</t>
        </is>
      </c>
    </row>
    <row r="30">
      <c r="A30" s="6" t="inlineStr">
        <is>
          <t xml:space="preserve">Reserves title</t>
        </is>
      </c>
      <c r="B30" s="8" t="inlineStr">
        <is>
          <t xml:space="preserve">DSR and O&amp;M Reserves</t>
        </is>
      </c>
      <c r="C30" s="2" t="inlineStr">
        <is>
          <t xml:space="preserve">Header of the reserves box on page 2 (below the DSCR chart).</t>
        </is>
      </c>
    </row>
    <row r="31">
      <c r="A31" s="6" t="inlineStr">
        <is>
          <t xml:space="preserve">Cash flow units</t>
        </is>
      </c>
      <c r="B31" s="8" t="inlineStr">
        <is>
          <t xml:space="preserve">$MM</t>
        </is>
      </c>
      <c r="C31" s="2" t="inlineStr">
        <is>
          <t xml:space="preserve">Units label for page 2, e.g. $MM or $000s.</t>
        </is>
      </c>
    </row>
    <row r="32">
      <c r="A32" s="6" t="inlineStr">
        <is>
          <t xml:space="preserve">Cash flow decimals</t>
        </is>
      </c>
      <c r="B32" s="8">
        <v>1</v>
      </c>
      <c r="C32" s="2" t="inlineStr">
        <is>
          <t xml:space="preserve">Decimals in the page 2 cash flow table and reserves (default 1).</t>
        </is>
      </c>
    </row>
  </sheetData>
  <dataValidations count="7">
    <dataValidation type="list" allowBlank="1" showInputMessage="1" showErrorMessage="1" sqref="B8">
      <formula1>"Jan,Feb,Mar,Apr,May,Jun,Jul,Aug,Sep,Oct,Nov,Dec"</formula1>
    </dataValidation>
    <dataValidation type="list" allowBlank="1" showInputMessage="1" showErrorMessage="1" sqref="B10">
      <formula1>"Both years,This year,None"</formula1>
    </dataValidation>
    <dataValidation type="list" allowBlank="1" showInputMessage="1" showErrorMessage="1" sqref="B11">
      <formula1>"Auto,1,2,3"</formula1>
    </dataValidation>
    <dataValidation type="list" allowBlank="1" showInputMessage="1" showErrorMessage="1" sqref="B18">
      <formula1>"Parentheses,Minus sign"</formula1>
    </dataValidation>
    <dataValidation type="list" allowBlank="1" showInputMessage="1" showErrorMessage="1" sqref="B19">
      <formula1>"Commentary,Table,Table + Commentary,None"</formula1>
    </dataValidation>
    <dataValidation type="list" allowBlank="1" showInputMessage="1" showErrorMessage="1" sqref="B23">
      <formula1>"Letter,A4"</formula1>
    </dataValidation>
    <dataValidation type="list" allowBlank="1" showInputMessage="1" showErrorMessage="1" sqref="B25">
      <formula1>"Auto,Yes,No"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6" customWidth="1"/>
    <col min="3" max="3" width="8" customWidth="1"/>
    <col min="4" max="4" width="10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12" customWidth="1"/>
  </cols>
  <sheetData>
    <row r="1">
      <c r="A1" s="1" t="inlineStr">
        <is>
          <t xml:space="preserve">Chart</t>
        </is>
      </c>
      <c r="B1" s="1" t="inlineStr">
        <is>
          <t xml:space="preserve">Component</t>
        </is>
      </c>
      <c r="C1" s="1" t="inlineStr">
        <is>
          <t xml:space="preserve">Year</t>
        </is>
      </c>
      <c r="D1" s="1" t="inlineStr">
        <is>
          <t xml:space="preserve">Decimals</t>
        </is>
      </c>
      <c r="E1" s="1" t="inlineStr">
        <is>
          <t xml:space="preserve">Jan</t>
        </is>
      </c>
      <c r="F1" s="1" t="inlineStr">
        <is>
          <t xml:space="preserve">Feb</t>
        </is>
      </c>
      <c r="G1" s="1" t="inlineStr">
        <is>
          <t xml:space="preserve">Mar</t>
        </is>
      </c>
      <c r="H1" s="1" t="inlineStr">
        <is>
          <t xml:space="preserve">Apr</t>
        </is>
      </c>
      <c r="I1" s="1" t="inlineStr">
        <is>
          <t xml:space="preserve">May</t>
        </is>
      </c>
      <c r="J1" s="1" t="inlineStr">
        <is>
          <t xml:space="preserve">Jun</t>
        </is>
      </c>
      <c r="K1" s="1" t="inlineStr">
        <is>
          <t xml:space="preserve">Jul</t>
        </is>
      </c>
      <c r="L1" s="1" t="inlineStr">
        <is>
          <t xml:space="preserve">Aug</t>
        </is>
      </c>
      <c r="M1" s="1" t="inlineStr">
        <is>
          <t xml:space="preserve">Sep</t>
        </is>
      </c>
      <c r="N1" s="1" t="inlineStr">
        <is>
          <t xml:space="preserve">Oct</t>
        </is>
      </c>
      <c r="O1" s="1" t="inlineStr">
        <is>
          <t xml:space="preserve">Nov</t>
        </is>
      </c>
      <c r="P1" s="1" t="inlineStr">
        <is>
          <t xml:space="preserve">Dec</t>
        </is>
      </c>
      <c r="Q1" s="1" t="inlineStr">
        <is>
          <t xml:space="preserve">YTD Method</t>
        </is>
      </c>
    </row>
    <row r="2">
      <c r="A2" s="8" t="inlineStr">
        <is>
          <t xml:space="preserve">Generation (GWh)</t>
        </is>
      </c>
      <c r="B2" s="8"/>
      <c r="C2" s="8">
        <v>2026</v>
      </c>
      <c r="D2" s="8">
        <v>1</v>
      </c>
      <c r="E2" s="9">
        <v>24.6</v>
      </c>
      <c r="F2" s="9">
        <v>27.3</v>
      </c>
      <c r="G2" s="9">
        <v>38.9</v>
      </c>
      <c r="H2" s="9">
        <v>44.1</v>
      </c>
      <c r="I2" s="9">
        <v>49.8</v>
      </c>
      <c r="J2" s="9">
        <v>52.4</v>
      </c>
      <c r="K2" s="9">
        <v>41.7</v>
      </c>
      <c r="L2" s="9">
        <v>47.2</v>
      </c>
      <c r="M2" s="9"/>
      <c r="N2" s="9"/>
      <c r="O2" s="9"/>
      <c r="P2" s="9"/>
      <c r="Q2" s="8" t="inlineStr">
        <is>
          <t xml:space="preserve">Sum</t>
        </is>
      </c>
    </row>
    <row r="3">
      <c r="A3" s="8" t="inlineStr">
        <is>
          <t xml:space="preserve">Generation (GWh)</t>
        </is>
      </c>
      <c r="B3" s="8"/>
      <c r="C3" s="8">
        <v>2025</v>
      </c>
      <c r="D3" s="8">
        <v>1</v>
      </c>
      <c r="E3" s="9">
        <v>22.9</v>
      </c>
      <c r="F3" s="9">
        <v>26.1</v>
      </c>
      <c r="G3" s="9">
        <v>36.4</v>
      </c>
      <c r="H3" s="9">
        <v>42.7</v>
      </c>
      <c r="I3" s="9">
        <v>47.5</v>
      </c>
      <c r="J3" s="9">
        <v>50.9</v>
      </c>
      <c r="K3" s="9">
        <v>49.6</v>
      </c>
      <c r="L3" s="9">
        <v>45.8</v>
      </c>
      <c r="M3" s="9">
        <v>39.2</v>
      </c>
      <c r="N3" s="9">
        <v>31.5</v>
      </c>
      <c r="O3" s="9">
        <v>25.4</v>
      </c>
      <c r="P3" s="9">
        <v>21.8</v>
      </c>
      <c r="Q3" s="8" t="inlineStr">
        <is>
          <t xml:space="preserve">Sum</t>
        </is>
      </c>
    </row>
    <row r="4">
      <c r="A4" s="8" t="inlineStr">
        <is>
          <t xml:space="preserve">Revenue ($MM)</t>
        </is>
      </c>
      <c r="B4" s="8"/>
      <c r="C4" s="8">
        <v>2026</v>
      </c>
      <c r="D4" s="8">
        <v>1</v>
      </c>
      <c r="E4" s="9">
        <v>1.62</v>
      </c>
      <c r="F4" s="9">
        <v>1.84</v>
      </c>
      <c r="G4" s="9">
        <v>2.57</v>
      </c>
      <c r="H4" s="9">
        <v>3.03</v>
      </c>
      <c r="I4" s="9">
        <v>3.41</v>
      </c>
      <c r="J4" s="9">
        <v>4.12</v>
      </c>
      <c r="K4" s="9">
        <v>3.46</v>
      </c>
      <c r="L4" s="9">
        <v>3.92</v>
      </c>
      <c r="M4" s="9"/>
      <c r="N4" s="9"/>
      <c r="O4" s="9"/>
      <c r="P4" s="9"/>
      <c r="Q4" s="8" t="inlineStr">
        <is>
          <t xml:space="preserve">Sum</t>
        </is>
      </c>
    </row>
    <row r="5">
      <c r="A5" s="8" t="inlineStr">
        <is>
          <t xml:space="preserve">Revenue ($MM)</t>
        </is>
      </c>
      <c r="B5" s="8"/>
      <c r="C5" s="8">
        <v>2025</v>
      </c>
      <c r="D5" s="8">
        <v>1</v>
      </c>
      <c r="E5" s="9">
        <v>1.5</v>
      </c>
      <c r="F5" s="9">
        <v>1.7</v>
      </c>
      <c r="G5" s="9">
        <v>2.4</v>
      </c>
      <c r="H5" s="9">
        <v>2.8</v>
      </c>
      <c r="I5" s="9">
        <v>3.2</v>
      </c>
      <c r="J5" s="9">
        <v>3.9</v>
      </c>
      <c r="K5" s="9">
        <v>4</v>
      </c>
      <c r="L5" s="9">
        <v>3.7</v>
      </c>
      <c r="M5" s="9">
        <v>2.9</v>
      </c>
      <c r="N5" s="9">
        <v>2.2</v>
      </c>
      <c r="O5" s="9">
        <v>1.7</v>
      </c>
      <c r="P5" s="9">
        <v>1.4</v>
      </c>
      <c r="Q5" s="8" t="inlineStr">
        <is>
          <t xml:space="preserve">Sum</t>
        </is>
      </c>
    </row>
    <row r="6">
      <c r="A6" s="8" t="inlineStr">
        <is>
          <t xml:space="preserve">Operating income ($MM)</t>
        </is>
      </c>
      <c r="B6" s="8"/>
      <c r="C6" s="8">
        <v>2026</v>
      </c>
      <c r="D6" s="8">
        <v>1</v>
      </c>
      <c r="E6" s="9">
        <v>-0.41</v>
      </c>
      <c r="F6" s="9">
        <v>0.12</v>
      </c>
      <c r="G6" s="9">
        <v>0.88</v>
      </c>
      <c r="H6" s="9">
        <v>1.31</v>
      </c>
      <c r="I6" s="9">
        <v>1.69</v>
      </c>
      <c r="J6" s="9">
        <v>2.27</v>
      </c>
      <c r="K6" s="9">
        <v>1.66</v>
      </c>
      <c r="L6" s="9">
        <v>2.07</v>
      </c>
      <c r="M6" s="9"/>
      <c r="N6" s="9"/>
      <c r="O6" s="9"/>
      <c r="P6" s="9"/>
      <c r="Q6" s="8" t="inlineStr">
        <is>
          <t xml:space="preserve">Sum</t>
        </is>
      </c>
    </row>
    <row r="7">
      <c r="A7" s="8" t="inlineStr">
        <is>
          <t xml:space="preserve">Operating income ($MM)</t>
        </is>
      </c>
      <c r="B7" s="8"/>
      <c r="C7" s="8">
        <v>2025</v>
      </c>
      <c r="D7" s="8">
        <v>1</v>
      </c>
      <c r="E7" s="9">
        <v>-0.6</v>
      </c>
      <c r="F7" s="9">
        <v>-0.2</v>
      </c>
      <c r="G7" s="9">
        <v>0.7</v>
      </c>
      <c r="H7" s="9">
        <v>1.1</v>
      </c>
      <c r="I7" s="9">
        <v>1.5</v>
      </c>
      <c r="J7" s="9">
        <v>2</v>
      </c>
      <c r="K7" s="9">
        <v>2.2</v>
      </c>
      <c r="L7" s="9">
        <v>1.9</v>
      </c>
      <c r="M7" s="9">
        <v>1.2</v>
      </c>
      <c r="N7" s="9">
        <v>0.5</v>
      </c>
      <c r="O7" s="9">
        <v>-0.1</v>
      </c>
      <c r="P7" s="9">
        <v>-0.5</v>
      </c>
      <c r="Q7" s="8" t="inlineStr">
        <is>
          <t xml:space="preserve">Sum</t>
        </is>
      </c>
    </row>
  </sheetData>
  <dataValidations count="1">
    <dataValidation type="list" allowBlank="1" showInputMessage="1" showErrorMessage="1" sqref="Q2:Q500">
      <formula1>"Sum,Average,None"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0" customWidth="1"/>
    <col min="3" max="3" width="100" customWidth="1"/>
  </cols>
  <sheetData>
    <row r="1">
      <c r="A1" s="1" t="inlineStr">
        <is>
          <t xml:space="preserve">Chart</t>
        </is>
      </c>
      <c r="B1" s="1" t="inlineStr">
        <is>
          <t xml:space="preserve">Month</t>
        </is>
      </c>
      <c r="C1" s="1" t="inlineStr">
        <is>
          <t xml:space="preserve">Note</t>
        </is>
      </c>
    </row>
    <row r="2">
      <c r="A2" s="8"/>
      <c r="B2" s="8" t="inlineStr">
        <is>
          <t xml:space="preserve">Jul</t>
        </is>
      </c>
      <c r="C2" s="8" t="inlineStr">
        <is>
          <t xml:space="preserve">Plant shut down July 13-17 for a utility transformer replacement at the point of interconnection.</t>
        </is>
      </c>
    </row>
    <row r="3">
      <c r="A3" s="8" t="inlineStr">
        <is>
          <t xml:space="preserve">Operating income ($MM)</t>
        </is>
      </c>
      <c r="B3" s="8" t="inlineStr">
        <is>
          <t xml:space="preserve">Jan</t>
        </is>
      </c>
      <c r="C3" s="8" t="inlineStr">
        <is>
          <t xml:space="preserve">Annual property insurance premium expensed in January.</t>
        </is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</sheetData>
  <dataValidations count="2">
    <dataValidation type="list" allowBlank="1" showInputMessage="1" showErrorMessage="1" sqref="A2:A200">
      <formula1>ChartNames</formula1>
    </dataValidation>
    <dataValidation type="list" allowBlank="1" showInputMessage="1" showErrorMessage="1" sqref="B2:B200">
      <formula1>"Jan,Feb,Mar,Apr,May,Jun,Jul,Aug,Sep,Oct,Nov,Dec"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24" customWidth="1"/>
    <col min="3" max="3" width="16" customWidth="1"/>
    <col min="4" max="4" width="12" customWidth="1"/>
    <col min="5" max="5" width="8" customWidth="1"/>
    <col min="6" max="6" width="8" customWidth="1"/>
    <col min="7" max="7" width="10" customWidth="1"/>
    <col min="8" max="8" width="13" customWidth="1"/>
    <col min="9" max="9" width="13" customWidth="1"/>
    <col min="10" max="10" width="7" customWidth="1"/>
    <col min="11" max="11" width="14" customWidth="1"/>
    <col min="12" max="12" width="15" customWidth="1"/>
    <col min="13" max="13" width="13" customWidth="1"/>
    <col min="14" max="14" width="14" customWidth="1"/>
    <col min="15" max="15" width="22" customWidth="1"/>
  </cols>
  <sheetData>
    <row r="1">
      <c r="A1" s="1" t="inlineStr">
        <is>
          <t xml:space="preserve">Metric</t>
        </is>
      </c>
      <c r="B1" s="1" t="inlineStr">
        <is>
          <t xml:space="preserve">From Chart</t>
        </is>
      </c>
      <c r="C1" s="1" t="inlineStr">
        <is>
          <t xml:space="preserve">From Component</t>
        </is>
      </c>
      <c r="D1" s="1" t="inlineStr">
        <is>
          <t xml:space="preserve">YTD Method</t>
        </is>
      </c>
      <c r="E1" s="1" t="inlineStr">
        <is>
          <t xml:space="preserve">Prefix</t>
        </is>
      </c>
      <c r="F1" s="1" t="inlineStr">
        <is>
          <t xml:space="preserve">Suffix</t>
        </is>
      </c>
      <c r="G1" s="1" t="inlineStr">
        <is>
          <t xml:space="preserve">Decimals</t>
        </is>
      </c>
      <c r="H1" s="1" t="inlineStr">
        <is>
          <t xml:space="preserve">Better When</t>
        </is>
      </c>
      <c r="I1" s="1" t="inlineStr">
        <is>
          <t xml:space="preserve">Variance As</t>
        </is>
      </c>
      <c r="J1" s="1" t="inlineStr">
        <is>
          <t xml:space="preserve">Bold</t>
        </is>
      </c>
      <c r="K1" s="1" t="inlineStr">
        <is>
          <t xml:space="preserve">Month Actual</t>
        </is>
      </c>
      <c r="L1" s="1" t="inlineStr">
        <is>
          <t xml:space="preserve">Month EV Case</t>
        </is>
      </c>
      <c r="M1" s="1" t="inlineStr">
        <is>
          <t xml:space="preserve">YTD Actual</t>
        </is>
      </c>
      <c r="N1" s="1" t="inlineStr">
        <is>
          <t xml:space="preserve">YTD EV Case</t>
        </is>
      </c>
      <c r="O1" s="1" t="inlineStr">
        <is>
          <t xml:space="preserve">EV Basis</t>
        </is>
      </c>
    </row>
    <row r="2">
      <c r="A2" s="8" t="inlineStr">
        <is>
          <t xml:space="preserve">Generation</t>
        </is>
      </c>
      <c r="B2" s="8" t="inlineStr">
        <is>
          <t xml:space="preserve">Generation (GWh)</t>
        </is>
      </c>
      <c r="C2" s="8"/>
      <c r="D2" s="8" t="inlineStr">
        <is>
          <t xml:space="preserve">Sum</t>
        </is>
      </c>
      <c r="E2" s="8"/>
      <c r="F2" s="8" t="inlineStr">
        <is>
          <t xml:space="preserve"> GWh</t>
        </is>
      </c>
      <c r="G2" s="8">
        <v>1</v>
      </c>
      <c r="H2" s="8" t="inlineStr">
        <is>
          <t xml:space="preserve">Higher</t>
        </is>
      </c>
      <c r="I2" s="8"/>
      <c r="J2" s="8"/>
      <c r="K2" s="13">
        <f>IF($C2="",SUMIFS(INDEX(Charts!$E$2:$P$500,0,CurMonthNum),Charts!$A$2:$A$500,$B2,Charts!$C$2:$C$500,CurYear),SUMIFS(INDEX(Charts!$E$2:$P$500,0,CurMonthNum),Charts!$A$2:$A$500,$B2,Charts!$C$2:$C$500,CurYear,Charts!$B$2:$B$500,$C2))</f>
        <v>47.2</v>
      </c>
      <c r="L2" s="9">
        <v>50.6</v>
      </c>
      <c r="M2" s="13">
        <f>SUMPRODUCT((Charts!$A$2:$A$500=$B2)*(Charts!$C$2:$C$500=CurYear)*((($C2="")+(Charts!$B$2:$B$500=$C2))&gt;0)*(COLUMN(Charts!$E$1:$P$1)-COLUMN(Charts!$E$1)&lt;CurMonthNum),Charts!$E$2:$P$500)/IF($D2="Average",CurMonthNum,1)</f>
        <v>326</v>
      </c>
      <c r="N2" s="9">
        <v>351.4</v>
      </c>
      <c r="O2" s="8" t="inlineStr">
        <is>
          <t xml:space="preserve">Monthly</t>
        </is>
      </c>
    </row>
    <row r="3">
      <c r="A3" s="8" t="inlineStr">
        <is>
          <t xml:space="preserve">Revenue</t>
        </is>
      </c>
      <c r="B3" s="8" t="inlineStr">
        <is>
          <t xml:space="preserve">Revenue ($MM)</t>
        </is>
      </c>
      <c r="C3" s="8"/>
      <c r="D3" s="8" t="inlineStr">
        <is>
          <t xml:space="preserve">Sum</t>
        </is>
      </c>
      <c r="E3" s="8" t="inlineStr">
        <is>
          <t xml:space="preserve">$</t>
        </is>
      </c>
      <c r="F3" s="8" t="inlineStr">
        <is>
          <t xml:space="preserve">MM</t>
        </is>
      </c>
      <c r="G3" s="8">
        <v>2</v>
      </c>
      <c r="H3" s="8" t="inlineStr">
        <is>
          <t xml:space="preserve">Higher</t>
        </is>
      </c>
      <c r="I3" s="8"/>
      <c r="J3" s="8"/>
      <c r="K3" s="14">
        <f>IF($C3="",SUMIFS(INDEX(Charts!$E$2:$P$500,0,CurMonthNum),Charts!$A$2:$A$500,$B3,Charts!$C$2:$C$500,CurYear),SUMIFS(INDEX(Charts!$E$2:$P$500,0,CurMonthNum),Charts!$A$2:$A$500,$B3,Charts!$C$2:$C$500,CurYear,Charts!$B$2:$B$500,$C3))</f>
        <v>3.92</v>
      </c>
      <c r="L3" s="10">
        <v>3.85</v>
      </c>
      <c r="M3" s="14">
        <f>SUMPRODUCT((Charts!$A$2:$A$500=$B3)*(Charts!$C$2:$C$500=CurYear)*((($C3="")+(Charts!$B$2:$B$500=$C3))&gt;0)*(COLUMN(Charts!$E$1:$P$1)-COLUMN(Charts!$E$1)&lt;CurMonthNum),Charts!$E$2:$P$500)/IF($D3="Average",CurMonthNum,1)</f>
        <v>23.97</v>
      </c>
      <c r="N3" s="10">
        <v>25.3</v>
      </c>
      <c r="O3" s="8" t="inlineStr">
        <is>
          <t xml:space="preserve">Monthly</t>
        </is>
      </c>
    </row>
    <row r="4">
      <c r="A4" s="8" t="inlineStr">
        <is>
          <t xml:space="preserve">O&amp;M expense</t>
        </is>
      </c>
      <c r="B4" s="8"/>
      <c r="C4" s="8"/>
      <c r="D4" s="8" t="inlineStr">
        <is>
          <t xml:space="preserve">Sum</t>
        </is>
      </c>
      <c r="E4" s="8" t="inlineStr">
        <is>
          <t xml:space="preserve">$</t>
        </is>
      </c>
      <c r="F4" s="8" t="inlineStr">
        <is>
          <t xml:space="preserve">MM</t>
        </is>
      </c>
      <c r="G4" s="8">
        <v>2</v>
      </c>
      <c r="H4" s="8" t="inlineStr">
        <is>
          <t xml:space="preserve">Lower</t>
        </is>
      </c>
      <c r="I4" s="8" t="inlineStr">
        <is>
          <t xml:space="preserve">Abs</t>
        </is>
      </c>
      <c r="J4" s="8"/>
      <c r="K4" s="14">
        <f>K3-K5</f>
        <v>1.85</v>
      </c>
      <c r="L4" s="10">
        <v>1.54</v>
      </c>
      <c r="M4" s="14">
        <f>M3-M5</f>
        <v>14.38</v>
      </c>
      <c r="N4" s="10">
        <v>13.68</v>
      </c>
      <c r="O4" s="8" t="inlineStr">
        <is>
          <t xml:space="preserve">Pro-rated annual</t>
        </is>
      </c>
    </row>
    <row r="5">
      <c r="A5" s="8" t="inlineStr">
        <is>
          <t xml:space="preserve">Operating income</t>
        </is>
      </c>
      <c r="B5" s="8" t="inlineStr">
        <is>
          <t xml:space="preserve">Operating income ($MM)</t>
        </is>
      </c>
      <c r="C5" s="8"/>
      <c r="D5" s="8" t="inlineStr">
        <is>
          <t xml:space="preserve">Sum</t>
        </is>
      </c>
      <c r="E5" s="8" t="inlineStr">
        <is>
          <t xml:space="preserve">$</t>
        </is>
      </c>
      <c r="F5" s="8" t="inlineStr">
        <is>
          <t xml:space="preserve">MM</t>
        </is>
      </c>
      <c r="G5" s="8">
        <v>2</v>
      </c>
      <c r="H5" s="8" t="inlineStr">
        <is>
          <t xml:space="preserve">Higher</t>
        </is>
      </c>
      <c r="I5" s="8"/>
      <c r="J5" s="8" t="inlineStr">
        <is>
          <t xml:space="preserve">Y</t>
        </is>
      </c>
      <c r="K5" s="14">
        <f>IF($C5="",SUMIFS(INDEX(Charts!$E$2:$P$500,0,CurMonthNum),Charts!$A$2:$A$500,$B5,Charts!$C$2:$C$500,CurYear),SUMIFS(INDEX(Charts!$E$2:$P$500,0,CurMonthNum),Charts!$A$2:$A$500,$B5,Charts!$C$2:$C$500,CurYear,Charts!$B$2:$B$500,$C5))</f>
        <v>2.07</v>
      </c>
      <c r="L5" s="10">
        <v>2.31</v>
      </c>
      <c r="M5" s="14">
        <f>SUMPRODUCT((Charts!$A$2:$A$500=$B5)*(Charts!$C$2:$C$500=CurYear)*((($C5="")+(Charts!$B$2:$B$500=$C5))&gt;0)*(COLUMN(Charts!$E$1:$P$1)-COLUMN(Charts!$E$1)&lt;CurMonthNum),Charts!$E$2:$P$500)/IF($D5="Average",CurMonthNum,1)</f>
        <v>9.59</v>
      </c>
      <c r="N5" s="10">
        <v>11.62</v>
      </c>
      <c r="O5" s="8" t="inlineStr">
        <is>
          <t xml:space="preserve">Monthly</t>
        </is>
      </c>
    </row>
  </sheetData>
  <dataValidations count="6">
    <dataValidation type="list" allowBlank="1" showInputMessage="1" showErrorMessage="1" sqref="B2:B200">
      <formula1>ChartNames</formula1>
    </dataValidation>
    <dataValidation type="list" allowBlank="1" showInputMessage="1" showErrorMessage="1" sqref="D2:D200">
      <formula1>"Sum,Average"</formula1>
    </dataValidation>
    <dataValidation type="list" allowBlank="1" showInputMessage="1" showErrorMessage="1" sqref="H2:H200">
      <formula1>"Higher,Lower"</formula1>
    </dataValidation>
    <dataValidation type="list" allowBlank="1" showInputMessage="1" showErrorMessage="1" sqref="I2:I200">
      <formula1>"%,Abs,Pts"</formula1>
    </dataValidation>
    <dataValidation type="list" allowBlank="1" showInputMessage="1" showErrorMessage="1" sqref="J2:J200">
      <formula1>"Y,N"</formula1>
    </dataValidation>
    <dataValidation type="list" allowBlank="1" showInputMessage="1" showErrorMessage="1" sqref="O2:O200">
      <formula1>"Monthly,Pro-rated quarterly,Pro-rated semi-annual,Pro-rated annual"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0" customWidth="1"/>
  </cols>
  <sheetData>
    <row r="1">
      <c r="A1" s="1" t="inlineStr">
        <is>
          <t xml:space="preserve">Heading</t>
        </is>
      </c>
      <c r="B1" s="1" t="inlineStr">
        <is>
          <t xml:space="preserve">Text</t>
        </is>
      </c>
    </row>
    <row r="2">
      <c r="A2" s="8" t="inlineStr">
        <is>
          <t xml:space="preserve">Interconnection</t>
        </is>
      </c>
      <c r="B2" s="8" t="inlineStr">
        <is>
          <t xml:space="preserve">Utility replaced the POI transformer July 13-17; the plant was offline for the full outage.</t>
        </is>
      </c>
    </row>
    <row r="3">
      <c r="A3" s="8" t="inlineStr">
        <is>
          <t xml:space="preserve">Tracker controls</t>
        </is>
      </c>
      <c r="B3" s="8" t="inlineStr">
        <is>
          <t xml:space="preserve">Firmware update completed across all rows; stow logic retested and passed.</t>
        </is>
      </c>
    </row>
    <row r="4">
      <c r="A4" s="8" t="inlineStr">
        <is>
          <t xml:space="preserve">Portfolio</t>
        </is>
      </c>
      <c r="B4" s="8" t="inlineStr">
        <is>
          <t xml:space="preserve">Routine preventive maintenance continued; no safety or environmental events.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 xml:space="preserve">Item</t>
        </is>
      </c>
      <c r="B1" s="1" t="inlineStr">
        <is>
          <t xml:space="preserve">Balance</t>
        </is>
      </c>
      <c r="C1" s="1" t="inlineStr">
        <is>
          <t xml:space="preserve">MoM</t>
        </is>
      </c>
    </row>
    <row r="2">
      <c r="A2" s="8" t="inlineStr">
        <is>
          <t xml:space="preserve">Unrestricted cash</t>
        </is>
      </c>
      <c r="B2" s="8" t="inlineStr">
        <is>
          <t xml:space="preserve">$1.2MM</t>
        </is>
      </c>
      <c r="C2" s="8" t="inlineStr">
        <is>
          <t xml:space="preserve">-$0.3MM</t>
        </is>
      </c>
    </row>
    <row r="3">
      <c r="A3" s="8" t="inlineStr">
        <is>
          <t xml:space="preserve">O&amp;M reserve</t>
        </is>
      </c>
      <c r="B3" s="8" t="inlineStr">
        <is>
          <t xml:space="preserve">$1.85MM</t>
        </is>
      </c>
      <c r="C3" s="8" t="inlineStr">
        <is>
          <t xml:space="preserve">+$0.05MM</t>
        </is>
      </c>
    </row>
    <row r="4">
      <c r="A4" s="8" t="inlineStr">
        <is>
          <t xml:space="preserve">Debt service reserve</t>
        </is>
      </c>
      <c r="B4" s="8" t="inlineStr">
        <is>
          <t xml:space="preserve">$8.62MM</t>
        </is>
      </c>
      <c r="C4" s="8" t="inlineStr">
        <is>
          <t xml:space="preserve">Flat</t>
        </is>
      </c>
    </row>
    <row r="5">
      <c r="A5" s="8" t="inlineStr">
        <is>
          <t xml:space="preserve">Term loan</t>
        </is>
      </c>
      <c r="B5" s="8" t="inlineStr">
        <is>
          <t xml:space="preserve">$96.4MM</t>
        </is>
      </c>
      <c r="C5" s="8" t="inlineStr">
        <is>
          <t xml:space="preserve">-$0.9MM</t>
        </is>
      </c>
    </row>
    <row r="6">
      <c r="A6" s="8" t="inlineStr">
        <is>
          <t xml:space="preserve">Revolver</t>
        </is>
      </c>
      <c r="B6" s="8" t="inlineStr">
        <is>
          <t xml:space="preserve">$0.0MM</t>
        </is>
      </c>
      <c r="C6" s="8" t="inlineStr">
        <is>
          <t xml:space="preserve">Flat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4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Line item</t>
        </is>
      </c>
      <c r="B1" s="1" t="inlineStr">
        <is>
          <t xml:space="preserve">Role</t>
        </is>
      </c>
      <c r="C1" s="1" t="inlineStr">
        <is>
          <t xml:space="preserve">Q1 2024</t>
        </is>
      </c>
      <c r="D1" s="1" t="inlineStr">
        <is>
          <t xml:space="preserve">Q2 2024</t>
        </is>
      </c>
      <c r="E1" s="1" t="inlineStr">
        <is>
          <t xml:space="preserve">Q3 2024</t>
        </is>
      </c>
      <c r="F1" s="1" t="inlineStr">
        <is>
          <t xml:space="preserve">Q4 2024</t>
        </is>
      </c>
      <c r="G1" s="1" t="inlineStr">
        <is>
          <t xml:space="preserve">Q1 2025</t>
        </is>
      </c>
      <c r="H1" s="1" t="inlineStr">
        <is>
          <t xml:space="preserve">Q2 2025</t>
        </is>
      </c>
      <c r="I1" s="1" t="inlineStr">
        <is>
          <t xml:space="preserve">Q3 2025</t>
        </is>
      </c>
      <c r="J1" s="1" t="inlineStr">
        <is>
          <t xml:space="preserve">Q4 2025</t>
        </is>
      </c>
      <c r="K1" s="1" t="inlineStr">
        <is>
          <t xml:space="preserve">Q1 2026</t>
        </is>
      </c>
      <c r="L1" s="1" t="inlineStr">
        <is>
          <t xml:space="preserve">Q2 2026</t>
        </is>
      </c>
      <c r="M1" s="1" t="inlineStr">
        <is>
          <t xml:space="preserve">Q3 2026</t>
        </is>
      </c>
      <c r="N1" s="1" t="inlineStr">
        <is>
          <t xml:space="preserve">Q4 2026</t>
        </is>
      </c>
      <c r="O1" s="1" t="inlineStr">
        <is>
          <t xml:space="preserve">Q1 2027</t>
        </is>
      </c>
      <c r="P1" s="1" t="inlineStr">
        <is>
          <t xml:space="preserve">Q2 2027</t>
        </is>
      </c>
      <c r="Q1" s="1" t="inlineStr">
        <is>
          <t xml:space="preserve">Q3 2027</t>
        </is>
      </c>
      <c r="R1" s="1" t="inlineStr">
        <is>
          <t xml:space="preserve">Q4 2027</t>
        </is>
      </c>
    </row>
    <row r="2">
      <c r="A2" s="8" t="inlineStr">
        <is>
          <t xml:space="preserve">Revenue</t>
        </is>
      </c>
      <c r="B2" s="8" t="inlineStr">
        <is>
          <t xml:space="preserve">Revenue</t>
        </is>
      </c>
      <c r="C2" s="10">
        <v>5.42</v>
      </c>
      <c r="D2" s="10">
        <v>9.78</v>
      </c>
      <c r="E2" s="10">
        <v>10.21</v>
      </c>
      <c r="F2" s="10">
        <v>5.31</v>
      </c>
      <c r="G2" s="10">
        <v>5.62</v>
      </c>
      <c r="H2" s="10">
        <v>10.04</v>
      </c>
      <c r="I2" s="10">
        <v>10.52</v>
      </c>
      <c r="J2" s="10">
        <v>5.93</v>
      </c>
      <c r="K2" s="10">
        <v>6.08</v>
      </c>
      <c r="L2" s="10">
        <v>10.61</v>
      </c>
      <c r="M2" s="10">
        <v>10.94</v>
      </c>
      <c r="N2" s="10"/>
      <c r="O2" s="10"/>
      <c r="P2" s="10"/>
      <c r="Q2" s="10"/>
      <c r="R2" s="10"/>
    </row>
    <row r="3"/>
    <row r="4">
      <c r="A4" s="8" t="inlineStr">
        <is>
          <t xml:space="preserve">O&amp;M</t>
        </is>
      </c>
      <c r="B4" s="8" t="inlineStr">
        <is>
          <t xml:space="preserve">Expense</t>
        </is>
      </c>
      <c r="C4" s="10">
        <v>1.85</v>
      </c>
      <c r="D4" s="10">
        <v>1.95</v>
      </c>
      <c r="E4" s="10">
        <v>2.05</v>
      </c>
      <c r="F4" s="10">
        <v>1.92</v>
      </c>
      <c r="G4" s="10">
        <v>2.01</v>
      </c>
      <c r="H4" s="10">
        <v>2.08</v>
      </c>
      <c r="I4" s="10">
        <v>2.17</v>
      </c>
      <c r="J4" s="10">
        <v>2.03</v>
      </c>
      <c r="K4" s="10">
        <v>2.11</v>
      </c>
      <c r="L4" s="10">
        <v>2.19</v>
      </c>
      <c r="M4" s="10">
        <v>2.24</v>
      </c>
      <c r="N4" s="10"/>
      <c r="O4" s="10"/>
      <c r="P4" s="10"/>
      <c r="Q4" s="10"/>
      <c r="R4" s="10"/>
    </row>
    <row r="5">
      <c r="A5" s="8" t="inlineStr">
        <is>
          <t xml:space="preserve">Property and Other Expenses</t>
        </is>
      </c>
      <c r="B5" s="8" t="inlineStr">
        <is>
          <t xml:space="preserve">Expense</t>
        </is>
      </c>
      <c r="C5" s="10">
        <v>0.48</v>
      </c>
      <c r="D5" s="10">
        <v>0.55</v>
      </c>
      <c r="E5" s="10">
        <v>0.58</v>
      </c>
      <c r="F5" s="10">
        <v>0.51</v>
      </c>
      <c r="G5" s="10">
        <v>0.49</v>
      </c>
      <c r="H5" s="10">
        <v>0.58</v>
      </c>
      <c r="I5" s="10">
        <v>0.61</v>
      </c>
      <c r="J5" s="10">
        <v>0.52</v>
      </c>
      <c r="K5" s="10">
        <v>0.53</v>
      </c>
      <c r="L5" s="10">
        <v>0.64</v>
      </c>
      <c r="M5" s="10">
        <v>0.67</v>
      </c>
      <c r="N5" s="10"/>
      <c r="O5" s="10"/>
      <c r="P5" s="10"/>
      <c r="Q5" s="10"/>
      <c r="R5" s="10"/>
    </row>
    <row r="6">
      <c r="A6" s="6" t="inlineStr">
        <is>
          <t xml:space="preserve">Total O&amp;M costs</t>
        </is>
      </c>
      <c r="B6" s="2" t="inlineStr">
        <is>
          <t xml:space="preserve">Calculated</t>
        </is>
      </c>
      <c r="C6" s="15">
        <f>IF(COUNT(C2:C3,C4:C5,C9:C12)=0,"",SUM(C4:C5))</f>
        <v>2.33</v>
      </c>
      <c r="D6" s="15">
        <f>IF(COUNT(D2:D3,D4:D5,D9:D12)=0,"",SUM(D4:D5))</f>
        <v>2.5</v>
      </c>
      <c r="E6" s="15">
        <f>IF(COUNT(E2:E3,E4:E5,E9:E12)=0,"",SUM(E4:E5))</f>
        <v>2.63</v>
      </c>
      <c r="F6" s="15">
        <f>IF(COUNT(F2:F3,F4:F5,F9:F12)=0,"",SUM(F4:F5))</f>
        <v>2.43</v>
      </c>
      <c r="G6" s="15">
        <f>IF(COUNT(G2:G3,G4:G5,G9:G12)=0,"",SUM(G4:G5))</f>
        <v>2.5</v>
      </c>
      <c r="H6" s="15">
        <f>IF(COUNT(H2:H3,H4:H5,H9:H12)=0,"",SUM(H4:H5))</f>
        <v>2.66</v>
      </c>
      <c r="I6" s="15">
        <f>IF(COUNT(I2:I3,I4:I5,I9:I12)=0,"",SUM(I4:I5))</f>
        <v>2.78</v>
      </c>
      <c r="J6" s="15">
        <f>IF(COUNT(J2:J3,J4:J5,J9:J12)=0,"",SUM(J4:J5))</f>
        <v>2.55</v>
      </c>
      <c r="K6" s="15">
        <f>IF(COUNT(K2:K3,K4:K5,K9:K12)=0,"",SUM(K4:K5))</f>
        <v>2.64</v>
      </c>
      <c r="L6" s="15">
        <f>IF(COUNT(L2:L3,L4:L5,L9:L12)=0,"",SUM(L4:L5))</f>
        <v>2.83</v>
      </c>
      <c r="M6" s="15">
        <f>IF(COUNT(M2:M3,M4:M5,M9:M12)=0,"",SUM(M4:M5))</f>
        <v>2.91</v>
      </c>
      <c r="N6" s="15" t="str">
        <f>IF(COUNT(N2:N3,N4:N5,N9:N12)=0,"",SUM(N4:N5))</f>
        <v/>
      </c>
      <c r="O6" s="15" t="str">
        <f>IF(COUNT(O2:O3,O4:O5,O9:O12)=0,"",SUM(O4:O5))</f>
        <v/>
      </c>
      <c r="P6" s="15" t="str">
        <f>IF(COUNT(P2:P3,P4:P5,P9:P12)=0,"",SUM(P4:P5))</f>
        <v/>
      </c>
      <c r="Q6" s="15" t="str">
        <f>IF(COUNT(Q2:Q3,Q4:Q5,Q9:Q12)=0,"",SUM(Q4:Q5))</f>
        <v/>
      </c>
      <c r="R6" s="15" t="str">
        <f>IF(COUNT(R2:R3,R4:R5,R9:R12)=0,"",SUM(R4:R5))</f>
        <v/>
      </c>
    </row>
    <row r="7">
      <c r="A7" s="6" t="inlineStr">
        <is>
          <t xml:space="preserve">CFADS</t>
        </is>
      </c>
      <c r="B7" s="2" t="inlineStr">
        <is>
          <t xml:space="preserve">Calculated</t>
        </is>
      </c>
      <c r="C7" s="15">
        <f>IF(COUNT(C2:C3,C4:C5,C9:C12)=0,"",SUM(C2:C3)-C6)</f>
        <v>3.09</v>
      </c>
      <c r="D7" s="15">
        <f>IF(COUNT(D2:D3,D4:D5,D9:D12)=0,"",SUM(D2:D3)-D6)</f>
        <v>7.28</v>
      </c>
      <c r="E7" s="15">
        <f>IF(COUNT(E2:E3,E4:E5,E9:E12)=0,"",SUM(E2:E3)-E6)</f>
        <v>7.58</v>
      </c>
      <c r="F7" s="15">
        <f>IF(COUNT(F2:F3,F4:F5,F9:F12)=0,"",SUM(F2:F3)-F6)</f>
        <v>2.88</v>
      </c>
      <c r="G7" s="15">
        <f>IF(COUNT(G2:G3,G4:G5,G9:G12)=0,"",SUM(G2:G3)-G6)</f>
        <v>3.12</v>
      </c>
      <c r="H7" s="15">
        <f>IF(COUNT(H2:H3,H4:H5,H9:H12)=0,"",SUM(H2:H3)-H6)</f>
        <v>7.38</v>
      </c>
      <c r="I7" s="15">
        <f>IF(COUNT(I2:I3,I4:I5,I9:I12)=0,"",SUM(I2:I3)-I6)</f>
        <v>7.74</v>
      </c>
      <c r="J7" s="15">
        <f>IF(COUNT(J2:J3,J4:J5,J9:J12)=0,"",SUM(J2:J3)-J6)</f>
        <v>3.38</v>
      </c>
      <c r="K7" s="15">
        <f>IF(COUNT(K2:K3,K4:K5,K9:K12)=0,"",SUM(K2:K3)-K6)</f>
        <v>3.44</v>
      </c>
      <c r="L7" s="15">
        <f>IF(COUNT(L2:L3,L4:L5,L9:L12)=0,"",SUM(L2:L3)-L6)</f>
        <v>7.78</v>
      </c>
      <c r="M7" s="15">
        <f>IF(COUNT(M2:M3,M4:M5,M9:M12)=0,"",SUM(M2:M3)-M6)</f>
        <v>8.03</v>
      </c>
      <c r="N7" s="15" t="str">
        <f>IF(COUNT(N2:N3,N4:N5,N9:N12)=0,"",SUM(N2:N3)-N6)</f>
        <v/>
      </c>
      <c r="O7" s="15" t="str">
        <f>IF(COUNT(O2:O3,O4:O5,O9:O12)=0,"",SUM(O2:O3)-O6)</f>
        <v/>
      </c>
      <c r="P7" s="15" t="str">
        <f>IF(COUNT(P2:P3,P4:P5,P9:P12)=0,"",SUM(P2:P3)-P6)</f>
        <v/>
      </c>
      <c r="Q7" s="15" t="str">
        <f>IF(COUNT(Q2:Q3,Q4:Q5,Q9:Q12)=0,"",SUM(Q2:Q3)-Q6)</f>
        <v/>
      </c>
      <c r="R7" s="15" t="str">
        <f>IF(COUNT(R2:R3,R4:R5,R9:R12)=0,"",SUM(R2:R3)-R6)</f>
        <v/>
      </c>
    </row>
    <row r="8"/>
    <row r="9">
      <c r="A9" s="8" t="inlineStr">
        <is>
          <t xml:space="preserve">Principal</t>
        </is>
      </c>
      <c r="B9" s="8" t="inlineStr">
        <is>
          <t xml:space="preserve">Debt service</t>
        </is>
      </c>
      <c r="C9" s="10">
        <v>2.3</v>
      </c>
      <c r="D9" s="10">
        <v>2.33</v>
      </c>
      <c r="E9" s="10">
        <v>2.37</v>
      </c>
      <c r="F9" s="10">
        <v>2.4</v>
      </c>
      <c r="G9" s="10">
        <v>2.42</v>
      </c>
      <c r="H9" s="10">
        <v>2.48</v>
      </c>
      <c r="I9" s="10">
        <v>2.51</v>
      </c>
      <c r="J9" s="10">
        <v>2.57</v>
      </c>
      <c r="K9" s="10">
        <v>2.62</v>
      </c>
      <c r="L9" s="10">
        <v>2.68</v>
      </c>
      <c r="M9" s="10">
        <v>2.74</v>
      </c>
      <c r="N9" s="10"/>
      <c r="O9" s="10"/>
      <c r="P9" s="10"/>
      <c r="Q9" s="10"/>
      <c r="R9" s="10"/>
    </row>
    <row r="10">
      <c r="A10" s="8" t="inlineStr">
        <is>
          <t xml:space="preserve">Interest</t>
        </is>
      </c>
      <c r="B10" s="8" t="inlineStr">
        <is>
          <t xml:space="preserve">Debt service</t>
        </is>
      </c>
      <c r="C10" s="10">
        <v>2.05</v>
      </c>
      <c r="D10" s="10">
        <v>2</v>
      </c>
      <c r="E10" s="10">
        <v>1.95</v>
      </c>
      <c r="F10" s="10">
        <v>1.91</v>
      </c>
      <c r="G10" s="10">
        <v>1.86</v>
      </c>
      <c r="H10" s="10">
        <v>1.81</v>
      </c>
      <c r="I10" s="10">
        <v>1.76</v>
      </c>
      <c r="J10" s="10">
        <v>1.7</v>
      </c>
      <c r="K10" s="10">
        <v>1.65</v>
      </c>
      <c r="L10" s="10">
        <v>1.6</v>
      </c>
      <c r="M10" s="10">
        <v>1.55</v>
      </c>
      <c r="N10" s="10"/>
      <c r="O10" s="10"/>
      <c r="P10" s="10"/>
      <c r="Q10" s="10"/>
      <c r="R10" s="10"/>
    </row>
    <row r="11">
      <c r="A11" s="8" t="inlineStr">
        <is>
          <t xml:space="preserve">Interest rate swap settlements</t>
        </is>
      </c>
      <c r="B11" s="8" t="inlineStr">
        <is>
          <t xml:space="preserve">Debt service</t>
        </is>
      </c>
      <c r="C11" s="10">
        <v>0.06</v>
      </c>
      <c r="D11" s="10">
        <v>0.05</v>
      </c>
      <c r="E11" s="10">
        <v>0.04</v>
      </c>
      <c r="F11" s="10">
        <v>0.03</v>
      </c>
      <c r="G11" s="10">
        <v>0.02</v>
      </c>
      <c r="H11" s="10">
        <v>0.01</v>
      </c>
      <c r="I11" s="10">
        <v>-0.01</v>
      </c>
      <c r="J11" s="10">
        <v>-0.02</v>
      </c>
      <c r="K11" s="10">
        <v>-0.03</v>
      </c>
      <c r="L11" s="10">
        <v>-0.02</v>
      </c>
      <c r="M11" s="10">
        <v>-0.03</v>
      </c>
      <c r="N11" s="10"/>
      <c r="O11" s="10"/>
      <c r="P11" s="10"/>
      <c r="Q11" s="10"/>
      <c r="R11" s="10"/>
    </row>
    <row r="12">
      <c r="A12" s="8" t="inlineStr">
        <is>
          <t xml:space="preserve">Agency fees</t>
        </is>
      </c>
      <c r="B12" s="8" t="inlineStr">
        <is>
          <t xml:space="preserve">Debt service</t>
        </is>
      </c>
      <c r="C12" s="10">
        <v>0.02</v>
      </c>
      <c r="D12" s="10">
        <v>0.02</v>
      </c>
      <c r="E12" s="10">
        <v>0.02</v>
      </c>
      <c r="F12" s="10">
        <v>0.02</v>
      </c>
      <c r="G12" s="10">
        <v>0.02</v>
      </c>
      <c r="H12" s="10">
        <v>0.02</v>
      </c>
      <c r="I12" s="10">
        <v>0.02</v>
      </c>
      <c r="J12" s="10">
        <v>0.02</v>
      </c>
      <c r="K12" s="10">
        <v>0.02</v>
      </c>
      <c r="L12" s="10">
        <v>0.02</v>
      </c>
      <c r="M12" s="10">
        <v>0.02</v>
      </c>
      <c r="N12" s="10"/>
      <c r="O12" s="10"/>
      <c r="P12" s="10"/>
      <c r="Q12" s="10"/>
      <c r="R12" s="10"/>
    </row>
    <row r="13">
      <c r="A13" s="6" t="inlineStr">
        <is>
          <t xml:space="preserve">Total debt service costs</t>
        </is>
      </c>
      <c r="B13" s="2" t="inlineStr">
        <is>
          <t xml:space="preserve">Calculated</t>
        </is>
      </c>
      <c r="C13" s="15">
        <f>IF(COUNT(C2:C3,C4:C5,C9:C12)=0,"",SUM(C9:C12))</f>
        <v>4.43</v>
      </c>
      <c r="D13" s="15">
        <f>IF(COUNT(D2:D3,D4:D5,D9:D12)=0,"",SUM(D9:D12))</f>
        <v>4.4</v>
      </c>
      <c r="E13" s="15">
        <f>IF(COUNT(E2:E3,E4:E5,E9:E12)=0,"",SUM(E9:E12))</f>
        <v>4.38</v>
      </c>
      <c r="F13" s="15">
        <f>IF(COUNT(F2:F3,F4:F5,F9:F12)=0,"",SUM(F9:F12))</f>
        <v>4.36</v>
      </c>
      <c r="G13" s="15">
        <f>IF(COUNT(G2:G3,G4:G5,G9:G12)=0,"",SUM(G9:G12))</f>
        <v>4.32</v>
      </c>
      <c r="H13" s="15">
        <f>IF(COUNT(H2:H3,H4:H5,H9:H12)=0,"",SUM(H9:H12))</f>
        <v>4.32</v>
      </c>
      <c r="I13" s="15">
        <f>IF(COUNT(I2:I3,I4:I5,I9:I12)=0,"",SUM(I9:I12))</f>
        <v>4.28</v>
      </c>
      <c r="J13" s="15">
        <f>IF(COUNT(J2:J3,J4:J5,J9:J12)=0,"",SUM(J9:J12))</f>
        <v>4.27</v>
      </c>
      <c r="K13" s="15">
        <f>IF(COUNT(K2:K3,K4:K5,K9:K12)=0,"",SUM(K9:K12))</f>
        <v>4.26</v>
      </c>
      <c r="L13" s="15">
        <f>IF(COUNT(L2:L3,L4:L5,L9:L12)=0,"",SUM(L9:L12))</f>
        <v>4.28</v>
      </c>
      <c r="M13" s="15">
        <f>IF(COUNT(M2:M3,M4:M5,M9:M12)=0,"",SUM(M9:M12))</f>
        <v>4.28</v>
      </c>
      <c r="N13" s="15" t="str">
        <f>IF(COUNT(N2:N3,N4:N5,N9:N12)=0,"",SUM(N9:N12))</f>
        <v/>
      </c>
      <c r="O13" s="15" t="str">
        <f>IF(COUNT(O2:O3,O4:O5,O9:O12)=0,"",SUM(O9:O12))</f>
        <v/>
      </c>
      <c r="P13" s="15" t="str">
        <f>IF(COUNT(P2:P3,P4:P5,P9:P12)=0,"",SUM(P9:P12))</f>
        <v/>
      </c>
      <c r="Q13" s="15" t="str">
        <f>IF(COUNT(Q2:Q3,Q4:Q5,Q9:Q12)=0,"",SUM(Q9:Q12))</f>
        <v/>
      </c>
      <c r="R13" s="15" t="str">
        <f>IF(COUNT(R2:R3,R4:R5,R9:R12)=0,"",SUM(R9:R12))</f>
        <v/>
      </c>
    </row>
    <row r="14"/>
    <row r="15">
      <c r="A15" s="6" t="inlineStr">
        <is>
          <t xml:space="preserve">DSCR - quarter</t>
        </is>
      </c>
      <c r="B15" s="2" t="inlineStr">
        <is>
          <t xml:space="preserve">Calculated</t>
        </is>
      </c>
      <c r="C15" s="16">
        <f>IFERROR(C7/C13,"")</f>
        <v>0.697517</v>
      </c>
      <c r="D15" s="16">
        <f>IFERROR(D7/D13,"")</f>
        <v>1.654545</v>
      </c>
      <c r="E15" s="16">
        <f>IFERROR(E7/E13,"")</f>
        <v>1.730594</v>
      </c>
      <c r="F15" s="16">
        <f>IFERROR(F7/F13,"")</f>
        <v>0.66055</v>
      </c>
      <c r="G15" s="16">
        <f>IFERROR(G7/G13,"")</f>
        <v>0.722222</v>
      </c>
      <c r="H15" s="16">
        <f>IFERROR(H7/H13,"")</f>
        <v>1.708333</v>
      </c>
      <c r="I15" s="16">
        <f>IFERROR(I7/I13,"")</f>
        <v>1.808411</v>
      </c>
      <c r="J15" s="16">
        <f>IFERROR(J7/J13,"")</f>
        <v>0.791569</v>
      </c>
      <c r="K15" s="16">
        <f>IFERROR(K7/K13,"")</f>
        <v>0.807512</v>
      </c>
      <c r="L15" s="16">
        <f>IFERROR(L7/L13,"")</f>
        <v>1.817757</v>
      </c>
      <c r="M15" s="16">
        <f>IFERROR(M7/M13,"")</f>
        <v>1.876168</v>
      </c>
      <c r="N15" s="16" t="str">
        <f>IFERROR(N7/N13,"")</f>
        <v/>
      </c>
      <c r="O15" s="16" t="str">
        <f>IFERROR(O7/O13,"")</f>
        <v/>
      </c>
      <c r="P15" s="16" t="str">
        <f>IFERROR(P7/P13,"")</f>
        <v/>
      </c>
      <c r="Q15" s="16" t="str">
        <f>IFERROR(Q7/Q13,"")</f>
        <v/>
      </c>
      <c r="R15" s="16" t="str">
        <f>IFERROR(R7/R13,"")</f>
        <v/>
      </c>
    </row>
    <row r="16">
      <c r="A16" s="6" t="inlineStr">
        <is>
          <t xml:space="preserve">DSCR - LTM</t>
        </is>
      </c>
      <c r="B16" s="2" t="inlineStr">
        <is>
          <t xml:space="preserve">Calculated</t>
        </is>
      </c>
      <c r="C16" s="16" t="str">
        <f>""</f>
        <v/>
      </c>
      <c r="D16" s="16" t="str">
        <f>""</f>
        <v/>
      </c>
      <c r="E16" s="16" t="str">
        <f>""</f>
        <v/>
      </c>
      <c r="F16" s="16">
        <f>IF(COUNT(C7:F7)&lt;4,"",IFERROR(SUM(C7:F7)/SUM(C13:F13),""))</f>
        <v>1.185544</v>
      </c>
      <c r="G16" s="16">
        <f>IF(COUNT(D7:G7)&lt;4,"",IFERROR(SUM(D7:G7)/SUM(D13:G13),""))</f>
        <v>1.194731</v>
      </c>
      <c r="H16" s="16">
        <f>IF(COUNT(E7:H7)&lt;4,"",IFERROR(SUM(E7:H7)/SUM(E13:H13),""))</f>
        <v>1.205984</v>
      </c>
      <c r="I16" s="16">
        <f>IF(COUNT(F7:I7)&lt;4,"",IFERROR(SUM(F7:I7)/SUM(F13:I13),""))</f>
        <v>1.222222</v>
      </c>
      <c r="J16" s="16">
        <f>IF(COUNT(G7:J7)&lt;4,"",IFERROR(SUM(G7:J7)/SUM(G13:J13),""))</f>
        <v>1.257708</v>
      </c>
      <c r="K16" s="16">
        <f>IF(COUNT(H7:K7)&lt;4,"",IFERROR(SUM(H7:K7)/SUM(H13:K13),""))</f>
        <v>1.280794</v>
      </c>
      <c r="L16" s="16">
        <f>IF(COUNT(I7:L7)&lt;4,"",IFERROR(SUM(I7:L7)/SUM(I13:L13),""))</f>
        <v>1.307197</v>
      </c>
      <c r="M16" s="16">
        <f>IF(COUNT(J7:M7)&lt;4,"",IFERROR(SUM(J7:M7)/SUM(J13:M13),""))</f>
        <v>1.324166</v>
      </c>
      <c r="N16" s="16" t="str">
        <f>IF(COUNT(K7:N7)&lt;4,"",IFERROR(SUM(K7:N7)/SUM(K13:N13),""))</f>
        <v/>
      </c>
      <c r="O16" s="16" t="str">
        <f>IF(COUNT(L7:O7)&lt;4,"",IFERROR(SUM(L7:O7)/SUM(L13:O13),""))</f>
        <v/>
      </c>
      <c r="P16" s="16" t="str">
        <f>IF(COUNT(M7:P7)&lt;4,"",IFERROR(SUM(M7:P7)/SUM(M13:P13),""))</f>
        <v/>
      </c>
      <c r="Q16" s="16" t="str">
        <f>IF(COUNT(N7:Q7)&lt;4,"",IFERROR(SUM(N7:Q7)/SUM(N13:Q13),""))</f>
        <v/>
      </c>
      <c r="R16" s="16" t="str">
        <f>IF(COUNT(O7:R7)&lt;4,"",IFERROR(SUM(O7:R7)/SUM(O13:R13),""))</f>
        <v/>
      </c>
    </row>
  </sheetData>
  <dataValidations count="1">
    <dataValidation type="list" allowBlank="1" showInputMessage="1" showErrorMessage="1" sqref="B2:B200">
      <formula1>"Revenue,Expense,Debt service,Calculated"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4" customWidth="1"/>
    <col min="3" max="3" width="18" customWidth="1"/>
  </cols>
  <sheetData>
    <row r="1">
      <c r="A1" s="1" t="inlineStr">
        <is>
          <t xml:space="preserve">Reserve</t>
        </is>
      </c>
      <c r="B1" s="1" t="inlineStr">
        <is>
          <t xml:space="preserve">Required</t>
        </is>
      </c>
      <c r="C1" s="1" t="inlineStr">
        <is>
          <t xml:space="preserve">Balance available</t>
        </is>
      </c>
    </row>
    <row r="2">
      <c r="A2" s="8" t="inlineStr">
        <is>
          <t xml:space="preserve">Debt service reserve</t>
        </is>
      </c>
      <c r="B2" s="10">
        <v>8.55</v>
      </c>
      <c r="C2" s="10">
        <v>8.62</v>
      </c>
    </row>
    <row r="3">
      <c r="A3" s="8" t="inlineStr">
        <is>
          <t xml:space="preserve">O&amp;M reserve</t>
        </is>
      </c>
      <c r="B3" s="10">
        <v>2.1</v>
      </c>
      <c r="C3" s="10">
        <v>1.85</v>
      </c>
    </row>
    <row r="4">
      <c r="A4" s="8"/>
      <c r="B4" s="10"/>
      <c r="C4" s="10"/>
    </row>
    <row r="5">
      <c r="A5" s="8"/>
      <c r="B5" s="10"/>
      <c r="C5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0" customWidth="1"/>
  </cols>
  <sheetData>
    <row r="1">
      <c r="A1" s="1" t="inlineStr">
        <is>
          <t xml:space="preserve">Heading</t>
        </is>
      </c>
      <c r="B1" s="1" t="inlineStr">
        <is>
          <t xml:space="preserve">Text</t>
        </is>
      </c>
    </row>
    <row r="2">
      <c r="A2" s="8" t="inlineStr">
        <is>
          <t xml:space="preserve">Seasonality</t>
        </is>
      </c>
      <c r="B2" s="8" t="inlineStr">
        <is>
          <t xml:space="preserve">Q1 and Q4 coverage falls below 1.0x on a stand-alone basis every year; the covenants test on an LTM basis.</t>
        </is>
      </c>
    </row>
    <row r="3">
      <c r="A3" s="8" t="inlineStr">
        <is>
          <t xml:space="preserve">Next test</t>
        </is>
      </c>
      <c r="B3" s="8" t="inlineStr">
        <is>
          <t xml:space="preserve">Q3 2026 test at September 30, 2026.  Distributions require 1.20x LTM.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</cols>
  <sheetData>
    <row r="1">
      <c r="A1" t="inlineStr">
        <is>
          <t xml:space="preserve">Chart names</t>
        </is>
      </c>
    </row>
    <row r="2">
      <c r="A2" t="str">
        <f>IFERROR(INDEX(Charts!$A$2:$A$500,MATCH(0,INDEX(COUNTIF($A$1:A1,Charts!$A$2:$A$500)+(Charts!$A$2:$A$500=""),0),0)),"")</f>
        <v/>
      </c>
    </row>
    <row r="3">
      <c r="A3" t="str">
        <f>IFERROR(INDEX(Charts!$A$2:$A$500,MATCH(0,INDEX(COUNTIF($A$1:A2,Charts!$A$2:$A$500)+(Charts!$A$2:$A$500=""),0),0)),"")</f>
        <v/>
      </c>
    </row>
    <row r="4">
      <c r="A4" t="str">
        <f>IFERROR(INDEX(Charts!$A$2:$A$500,MATCH(0,INDEX(COUNTIF($A$1:A3,Charts!$A$2:$A$500)+(Charts!$A$2:$A$500=""),0),0)),"")</f>
        <v/>
      </c>
    </row>
    <row r="5">
      <c r="A5" t="str">
        <f>IFERROR(INDEX(Charts!$A$2:$A$500,MATCH(0,INDEX(COUNTIF($A$1:A4,Charts!$A$2:$A$500)+(Charts!$A$2:$A$500=""),0),0)),"")</f>
        <v/>
      </c>
    </row>
    <row r="6">
      <c r="A6" t="str">
        <f>IFERROR(INDEX(Charts!$A$2:$A$500,MATCH(0,INDEX(COUNTIF($A$1:A5,Charts!$A$2:$A$500)+(Charts!$A$2:$A$500=""),0),0)),"")</f>
        <v/>
      </c>
    </row>
    <row r="7">
      <c r="A7" t="str">
        <f>IFERROR(INDEX(Charts!$A$2:$A$500,MATCH(0,INDEX(COUNTIF($A$1:A6,Charts!$A$2:$A$500)+(Charts!$A$2:$A$500=""),0),0)),"")</f>
        <v/>
      </c>
    </row>
    <row r="8">
      <c r="A8" t="str">
        <f>IFERROR(INDEX(Charts!$A$2:$A$500,MATCH(0,INDEX(COUNTIF($A$1:A7,Charts!$A$2:$A$500)+(Charts!$A$2:$A$500=""),0),0)),"")</f>
        <v/>
      </c>
    </row>
    <row r="9">
      <c r="A9" t="str">
        <f>IFERROR(INDEX(Charts!$A$2:$A$500,MATCH(0,INDEX(COUNTIF($A$1:A8,Charts!$A$2:$A$500)+(Charts!$A$2:$A$500=""),0),0)),"")</f>
        <v/>
      </c>
    </row>
    <row r="10">
      <c r="A10" t="str">
        <f>IFERROR(INDEX(Charts!$A$2:$A$500,MATCH(0,INDEX(COUNTIF($A$1:A9,Charts!$A$2:$A$500)+(Charts!$A$2:$A$500=""),0),0)),"")</f>
        <v/>
      </c>
    </row>
    <row r="11">
      <c r="A11" t="str">
        <f>IFERROR(INDEX(Charts!$A$2:$A$500,MATCH(0,INDEX(COUNTIF($A$1:A10,Charts!$A$2:$A$500)+(Charts!$A$2:$A$500=""),0),0)),"")</f>
        <v/>
      </c>
    </row>
    <row r="12">
      <c r="A12" t="str">
        <f>IFERROR(INDEX(Charts!$A$2:$A$500,MATCH(0,INDEX(COUNTIF($A$1:A11,Charts!$A$2:$A$500)+(Charts!$A$2:$A$500=""),0),0)),"")</f>
        <v/>
      </c>
    </row>
    <row r="13">
      <c r="A13" t="str">
        <f>IFERROR(INDEX(Charts!$A$2:$A$500,MATCH(0,INDEX(COUNTIF($A$1:A12,Charts!$A$2:$A$500)+(Charts!$A$2:$A$500=""),0),0)),"")</f>
        <v/>
      </c>
    </row>
    <row r="14">
      <c r="A14" t="str">
        <f>IFERROR(INDEX(Charts!$A$2:$A$500,MATCH(0,INDEX(COUNTIF($A$1:A13,Charts!$A$2:$A$500)+(Charts!$A$2:$A$500=""),0),0)),"")</f>
        <v/>
      </c>
    </row>
    <row r="15">
      <c r="A15" t="str">
        <f>IFERROR(INDEX(Charts!$A$2:$A$500,MATCH(0,INDEX(COUNTIF($A$1:A14,Charts!$A$2:$A$500)+(Charts!$A$2:$A$500=""),0),0)),"")</f>
        <v/>
      </c>
    </row>
    <row r="16">
      <c r="A16" t="str">
        <f>IFERROR(INDEX(Charts!$A$2:$A$500,MATCH(0,INDEX(COUNTIF($A$1:A15,Charts!$A$2:$A$500)+(Charts!$A$2:$A$500=""),0),0)),"")</f>
        <v/>
      </c>
    </row>
    <row r="17">
      <c r="A17" t="str">
        <f>IFERROR(INDEX(Charts!$A$2:$A$500,MATCH(0,INDEX(COUNTIF($A$1:A16,Charts!$A$2:$A$500)+(Charts!$A$2:$A$500=""),0),0)),"")</f>
        <v/>
      </c>
    </row>
    <row r="18">
      <c r="A18" t="str">
        <f>IFERROR(INDEX(Charts!$A$2:$A$500,MATCH(0,INDEX(COUNTIF($A$1:A17,Charts!$A$2:$A$500)+(Charts!$A$2:$A$500=""),0),0)),"")</f>
        <v/>
      </c>
    </row>
    <row r="19">
      <c r="A19" t="str">
        <f>IFERROR(INDEX(Charts!$A$2:$A$500,MATCH(0,INDEX(COUNTIF($A$1:A18,Charts!$A$2:$A$500)+(Charts!$A$2:$A$500=""),0),0)),"")</f>
        <v/>
      </c>
    </row>
    <row r="20">
      <c r="A20" t="str">
        <f>IFERROR(INDEX(Charts!$A$2:$A$500,MATCH(0,INDEX(COUNTIF($A$1:A19,Charts!$A$2:$A$500)+(Charts!$A$2:$A$500=""),0),0)),"")</f>
        <v/>
      </c>
    </row>
    <row r="21">
      <c r="A21" t="str">
        <f>IFERROR(INDEX(Charts!$A$2:$A$500,MATCH(0,INDEX(COUNTIF($A$1:A20,Charts!$A$2:$A$500)+(Charts!$A$2:$A$500=""),0),0)),"")</f>
        <v/>
      </c>
    </row>
    <row r="22">
      <c r="A22" t="str">
        <f>IFERROR(INDEX(Charts!$A$2:$A$500,MATCH(0,INDEX(COUNTIF($A$1:A21,Charts!$A$2:$A$500)+(Charts!$A$2:$A$500=""),0),0)),"")</f>
        <v/>
      </c>
    </row>
    <row r="23">
      <c r="A23" t="str">
        <f>IFERROR(INDEX(Charts!$A$2:$A$500,MATCH(0,INDEX(COUNTIF($A$1:A22,Charts!$A$2:$A$500)+(Charts!$A$2:$A$500=""),0),0)),"")</f>
        <v/>
      </c>
    </row>
    <row r="24">
      <c r="A24" t="str">
        <f>IFERROR(INDEX(Charts!$A$2:$A$500,MATCH(0,INDEX(COUNTIF($A$1:A23,Charts!$A$2:$A$500)+(Charts!$A$2:$A$500=""),0),0)),"")</f>
        <v/>
      </c>
    </row>
    <row r="25">
      <c r="A25" t="str">
        <f>IFERROR(INDEX(Charts!$A$2:$A$500,MATCH(0,INDEX(COUNTIF($A$1:A24,Charts!$A$2:$A$500)+(Charts!$A$2:$A$500=""),0),0)),"")</f>
        <v/>
      </c>
    </row>
    <row r="26">
      <c r="A26" t="str">
        <f>IFERROR(INDEX(Charts!$A$2:$A$500,MATCH(0,INDEX(COUNTIF($A$1:A25,Charts!$A$2:$A$500)+(Charts!$A$2:$A$500=""),0),0)),"")</f>
        <v/>
      </c>
    </row>
    <row r="27">
      <c r="A27" t="str">
        <f>IFERROR(INDEX(Charts!$A$2:$A$500,MATCH(0,INDEX(COUNTIF($A$1:A26,Charts!$A$2:$A$500)+(Charts!$A$2:$A$500=""),0),0)),"")</f>
        <v/>
      </c>
    </row>
    <row r="28">
      <c r="A28" t="str">
        <f>IFERROR(INDEX(Charts!$A$2:$A$500,MATCH(0,INDEX(COUNTIF($A$1:A27,Charts!$A$2:$A$500)+(Charts!$A$2:$A$500=""),0),0)),"")</f>
        <v/>
      </c>
    </row>
    <row r="29">
      <c r="A29" t="str">
        <f>IFERROR(INDEX(Charts!$A$2:$A$500,MATCH(0,INDEX(COUNTIF($A$1:A28,Charts!$A$2:$A$500)+(Charts!$A$2:$A$500=""),0),0)),"")</f>
        <v/>
      </c>
    </row>
    <row r="30">
      <c r="A30" t="str">
        <f>IFERROR(INDEX(Charts!$A$2:$A$500,MATCH(0,INDEX(COUNTIF($A$1:A29,Charts!$A$2:$A$500)+(Charts!$A$2:$A$500=""),0),0)),"")</f>
        <v/>
      </c>
    </row>
    <row r="31">
      <c r="A31" t="str">
        <f>IFERROR(INDEX(Charts!$A$2:$A$500,MATCH(0,INDEX(COUNTIF($A$1:A30,Charts!$A$2:$A$500)+(Charts!$A$2:$A$500=""),0),0)),"")</f>
        <v/>
      </c>
    </row>
    <row r="32">
      <c r="A32" t="str">
        <f>IFERROR(INDEX(Charts!$A$2:$A$500,MATCH(0,INDEX(COUNTIF($A$1:A31,Charts!$A$2:$A$500)+(Charts!$A$2:$A$500=""),0),0)),"")</f>
        <v/>
      </c>
    </row>
    <row r="33">
      <c r="A33" t="str">
        <f>IFERROR(INDEX(Charts!$A$2:$A$500,MATCH(0,INDEX(COUNTIF($A$1:A32,Charts!$A$2:$A$500)+(Charts!$A$2:$A$500=""),0),0)),"")</f>
        <v/>
      </c>
    </row>
    <row r="34">
      <c r="A34" t="str">
        <f>IFERROR(INDEX(Charts!$A$2:$A$500,MATCH(0,INDEX(COUNTIF($A$1:A33,Charts!$A$2:$A$500)+(Charts!$A$2:$A$500=""),0),0)),"")</f>
        <v/>
      </c>
    </row>
    <row r="35">
      <c r="A35" t="str">
        <f>IFERROR(INDEX(Charts!$A$2:$A$500,MATCH(0,INDEX(COUNTIF($A$1:A34,Charts!$A$2:$A$500)+(Charts!$A$2:$A$500=""),0),0)),"")</f>
        <v/>
      </c>
    </row>
    <row r="36">
      <c r="A36" t="str">
        <f>IFERROR(INDEX(Charts!$A$2:$A$500,MATCH(0,INDEX(COUNTIF($A$1:A35,Charts!$A$2:$A$500)+(Charts!$A$2:$A$500=""),0),0)),"")</f>
        <v/>
      </c>
    </row>
    <row r="37">
      <c r="A37" t="str">
        <f>IFERROR(INDEX(Charts!$A$2:$A$500,MATCH(0,INDEX(COUNTIF($A$1:A36,Charts!$A$2:$A$500)+(Charts!$A$2:$A$500=""),0),0)),"")</f>
        <v/>
      </c>
    </row>
    <row r="38">
      <c r="A38" t="str">
        <f>IFERROR(INDEX(Charts!$A$2:$A$500,MATCH(0,INDEX(COUNTIF($A$1:A37,Charts!$A$2:$A$500)+(Charts!$A$2:$A$500=""),0),0)),"")</f>
        <v/>
      </c>
    </row>
    <row r="39">
      <c r="A39" t="str">
        <f>IFERROR(INDEX(Charts!$A$2:$A$500,MATCH(0,INDEX(COUNTIF($A$1:A38,Charts!$A$2:$A$500)+(Charts!$A$2:$A$500=""),0),0)),"")</f>
        <v/>
      </c>
    </row>
    <row r="40">
      <c r="A40" t="str">
        <f>IFERROR(INDEX(Charts!$A$2:$A$500,MATCH(0,INDEX(COUNTIF($A$1:A39,Charts!$A$2:$A$500)+(Charts!$A$2:$A$500=""),0),0)),"")</f>
        <v/>
      </c>
    </row>
    <row r="41">
      <c r="A41" t="str">
        <f>IFERROR(INDEX(Charts!$A$2:$A$500,MATCH(0,INDEX(COUNTIF($A$1:A40,Charts!$A$2:$A$500)+(Charts!$A$2:$A$500=""),0),0)),"")</f>
        <v/>
      </c>
    </row>
    <row r="42">
      <c r="A42" t="str">
        <f>IFERROR(INDEX(Charts!$A$2:$A$500,MATCH(0,INDEX(COUNTIF($A$1:A41,Charts!$A$2:$A$500)+(Charts!$A$2:$A$500=""),0),0)),"")</f>
        <v/>
      </c>
    </row>
    <row r="43">
      <c r="A43" t="str">
        <f>IFERROR(INDEX(Charts!$A$2:$A$500,MATCH(0,INDEX(COUNTIF($A$1:A42,Charts!$A$2:$A$500)+(Charts!$A$2:$A$500=""),0),0)),"")</f>
        <v/>
      </c>
    </row>
    <row r="44">
      <c r="A44" t="str">
        <f>IFERROR(INDEX(Charts!$A$2:$A$500,MATCH(0,INDEX(COUNTIF($A$1:A43,Charts!$A$2:$A$500)+(Charts!$A$2:$A$500=""),0),0)),"")</f>
        <v/>
      </c>
    </row>
    <row r="45">
      <c r="A45" t="str">
        <f>IFERROR(INDEX(Charts!$A$2:$A$500,MATCH(0,INDEX(COUNTIF($A$1:A44,Charts!$A$2:$A$500)+(Charts!$A$2:$A$500=""),0),0)),"")</f>
        <v/>
      </c>
    </row>
    <row r="46">
      <c r="A46" t="str">
        <f>IFERROR(INDEX(Charts!$A$2:$A$500,MATCH(0,INDEX(COUNTIF($A$1:A45,Charts!$A$2:$A$500)+(Charts!$A$2:$A$500=""),0),0)),"")</f>
        <v/>
      </c>
    </row>
    <row r="47">
      <c r="A47" t="str">
        <f>IFERROR(INDEX(Charts!$A$2:$A$500,MATCH(0,INDEX(COUNTIF($A$1:A46,Charts!$A$2:$A$500)+(Charts!$A$2:$A$500=""),0),0)),"")</f>
        <v/>
      </c>
    </row>
    <row r="48">
      <c r="A48" t="str">
        <f>IFERROR(INDEX(Charts!$A$2:$A$500,MATCH(0,INDEX(COUNTIF($A$1:A47,Charts!$A$2:$A$500)+(Charts!$A$2:$A$500=""),0),0)),"")</f>
        <v/>
      </c>
    </row>
    <row r="49">
      <c r="A49" t="str">
        <f>IFERROR(INDEX(Charts!$A$2:$A$500,MATCH(0,INDEX(COUNTIF($A$1:A48,Charts!$A$2:$A$500)+(Charts!$A$2:$A$500=""),0),0)),"")</f>
        <v/>
      </c>
    </row>
    <row r="50">
      <c r="A50" t="str">
        <f>IFERROR(INDEX(Charts!$A$2:$A$500,MATCH(0,INDEX(COUNTIF($A$1:A49,Charts!$A$2:$A$500)+(Charts!$A$2:$A$500=""),0),0)),"")</f>
        <v/>
      </c>
    </row>
    <row r="51">
      <c r="A51" t="str">
        <f>IFERROR(INDEX(Charts!$A$2:$A$500,MATCH(0,INDEX(COUNTIF($A$1:A50,Charts!$A$2:$A$500)+(Charts!$A$2:$A$500=""),0),0)),"")</f>
        <v/>
      </c>
    </row>
    <row r="52">
      <c r="A52" t="str">
        <f>IFERROR(INDEX(Charts!$A$2:$A$500,MATCH(0,INDEX(COUNTIF($A$1:A51,Charts!$A$2:$A$500)+(Charts!$A$2:$A$500=""),0),0)),"")</f>
        <v/>
      </c>
    </row>
    <row r="53">
      <c r="A53" t="str">
        <f>IFERROR(INDEX(Charts!$A$2:$A$500,MATCH(0,INDEX(COUNTIF($A$1:A52,Charts!$A$2:$A$500)+(Charts!$A$2:$A$500=""),0),0)),"")</f>
        <v/>
      </c>
    </row>
    <row r="54">
      <c r="A54" t="str">
        <f>IFERROR(INDEX(Charts!$A$2:$A$500,MATCH(0,INDEX(COUNTIF($A$1:A53,Charts!$A$2:$A$500)+(Charts!$A$2:$A$500=""),0),0)),"")</f>
        <v/>
      </c>
    </row>
    <row r="55">
      <c r="A55" t="str">
        <f>IFERROR(INDEX(Charts!$A$2:$A$500,MATCH(0,INDEX(COUNTIF($A$1:A54,Charts!$A$2:$A$500)+(Charts!$A$2:$A$500=""),0),0)),"")</f>
        <v/>
      </c>
    </row>
    <row r="56">
      <c r="A56" t="str">
        <f>IFERROR(INDEX(Charts!$A$2:$A$500,MATCH(0,INDEX(COUNTIF($A$1:A55,Charts!$A$2:$A$500)+(Charts!$A$2:$A$500=""),0),0)),"")</f>
        <v/>
      </c>
    </row>
    <row r="57">
      <c r="A57" t="str">
        <f>IFERROR(INDEX(Charts!$A$2:$A$500,MATCH(0,INDEX(COUNTIF($A$1:A56,Charts!$A$2:$A$500)+(Charts!$A$2:$A$500=""),0),0)),"")</f>
        <v/>
      </c>
    </row>
    <row r="58">
      <c r="A58" t="str">
        <f>IFERROR(INDEX(Charts!$A$2:$A$500,MATCH(0,INDEX(COUNTIF($A$1:A57,Charts!$A$2:$A$500)+(Charts!$A$2:$A$500=""),0),0)),"")</f>
        <v/>
      </c>
    </row>
    <row r="59">
      <c r="A59" t="str">
        <f>IFERROR(INDEX(Charts!$A$2:$A$500,MATCH(0,INDEX(COUNTIF($A$1:A58,Charts!$A$2:$A$500)+(Charts!$A$2:$A$500=""),0),0)),"")</f>
        <v/>
      </c>
    </row>
    <row r="60">
      <c r="A60" t="str">
        <f>IFERROR(INDEX(Charts!$A$2:$A$500,MATCH(0,INDEX(COUNTIF($A$1:A59,Charts!$A$2:$A$500)+(Charts!$A$2:$A$500=""),0),0)),"")</f>
        <v/>
      </c>
    </row>
    <row r="61">
      <c r="A61" t="str">
        <f>IFERROR(INDEX(Charts!$A$2:$A$500,MATCH(0,INDEX(COUNTIF($A$1:A60,Charts!$A$2:$A$500)+(Charts!$A$2:$A$500=""),0),0)),"")</f>
        <v/>
      </c>
    </row>
    <row r="62">
      <c r="A62" t="str">
        <f>IFERROR(INDEX(Charts!$A$2:$A$500,MATCH(0,INDEX(COUNTIF($A$1:A61,Charts!$A$2:$A$500)+(Charts!$A$2:$A$500=""),0),0)),"")</f>
        <v/>
      </c>
    </row>
    <row r="63">
      <c r="A63" t="str">
        <f>IFERROR(INDEX(Charts!$A$2:$A$500,MATCH(0,INDEX(COUNTIF($A$1:A62,Charts!$A$2:$A$500)+(Charts!$A$2:$A$500=""),0),0)),"")</f>
        <v/>
      </c>
    </row>
    <row r="64">
      <c r="A64" t="str">
        <f>IFERROR(INDEX(Charts!$A$2:$A$500,MATCH(0,INDEX(COUNTIF($A$1:A63,Charts!$A$2:$A$500)+(Charts!$A$2:$A$500=""),0),0)),"")</f>
        <v/>
      </c>
    </row>
    <row r="65">
      <c r="A65" t="str">
        <f>IFERROR(INDEX(Charts!$A$2:$A$500,MATCH(0,INDEX(COUNTIF($A$1:A64,Charts!$A$2:$A$500)+(Charts!$A$2:$A$500=""),0),0)),"")</f>
        <v/>
      </c>
    </row>
    <row r="66">
      <c r="A66" t="str">
        <f>IFERROR(INDEX(Charts!$A$2:$A$500,MATCH(0,INDEX(COUNTIF($A$1:A65,Charts!$A$2:$A$500)+(Charts!$A$2:$A$500=""),0),0)),"")</f>
        <v/>
      </c>
    </row>
    <row r="67">
      <c r="A67" t="str">
        <f>IFERROR(INDEX(Charts!$A$2:$A$500,MATCH(0,INDEX(COUNTIF($A$1:A66,Charts!$A$2:$A$500)+(Charts!$A$2:$A$500=""),0),0)),"")</f>
        <v/>
      </c>
    </row>
    <row r="68">
      <c r="A68" t="str">
        <f>IFERROR(INDEX(Charts!$A$2:$A$500,MATCH(0,INDEX(COUNTIF($A$1:A67,Charts!$A$2:$A$500)+(Charts!$A$2:$A$500=""),0),0)),"")</f>
        <v/>
      </c>
    </row>
    <row r="69">
      <c r="A69" t="str">
        <f>IFERROR(INDEX(Charts!$A$2:$A$500,MATCH(0,INDEX(COUNTIF($A$1:A68,Charts!$A$2:$A$500)+(Charts!$A$2:$A$500=""),0),0)),"")</f>
        <v/>
      </c>
    </row>
    <row r="70">
      <c r="A70" t="str">
        <f>IFERROR(INDEX(Charts!$A$2:$A$500,MATCH(0,INDEX(COUNTIF($A$1:A69,Charts!$A$2:$A$500)+(Charts!$A$2:$A$500=""),0),0)),"")</f>
        <v/>
      </c>
    </row>
    <row r="71">
      <c r="A71" t="str">
        <f>IFERROR(INDEX(Charts!$A$2:$A$500,MATCH(0,INDEX(COUNTIF($A$1:A70,Charts!$A$2:$A$500)+(Charts!$A$2:$A$500=""),0),0)),"")</f>
        <v/>
      </c>
    </row>
    <row r="72">
      <c r="A72" t="str">
        <f>IFERROR(INDEX(Charts!$A$2:$A$500,MATCH(0,INDEX(COUNTIF($A$1:A71,Charts!$A$2:$A$500)+(Charts!$A$2:$A$500=""),0),0)),"")</f>
        <v/>
      </c>
    </row>
    <row r="73">
      <c r="A73" t="str">
        <f>IFERROR(INDEX(Charts!$A$2:$A$500,MATCH(0,INDEX(COUNTIF($A$1:A72,Charts!$A$2:$A$500)+(Charts!$A$2:$A$500=""),0),0)),"")</f>
        <v/>
      </c>
    </row>
    <row r="74">
      <c r="A74" t="str">
        <f>IFERROR(INDEX(Charts!$A$2:$A$500,MATCH(0,INDEX(COUNTIF($A$1:A73,Charts!$A$2:$A$500)+(Charts!$A$2:$A$500=""),0),0)),"")</f>
        <v/>
      </c>
    </row>
    <row r="75">
      <c r="A75" t="str">
        <f>IFERROR(INDEX(Charts!$A$2:$A$500,MATCH(0,INDEX(COUNTIF($A$1:A74,Charts!$A$2:$A$500)+(Charts!$A$2:$A$500=""),0),0)),"")</f>
        <v/>
      </c>
    </row>
    <row r="76">
      <c r="A76" t="str">
        <f>IFERROR(INDEX(Charts!$A$2:$A$500,MATCH(0,INDEX(COUNTIF($A$1:A75,Charts!$A$2:$A$500)+(Charts!$A$2:$A$500=""),0),0)),"")</f>
        <v/>
      </c>
    </row>
    <row r="77">
      <c r="A77" t="str">
        <f>IFERROR(INDEX(Charts!$A$2:$A$500,MATCH(0,INDEX(COUNTIF($A$1:A76,Charts!$A$2:$A$500)+(Charts!$A$2:$A$500=""),0),0)),"")</f>
        <v/>
      </c>
    </row>
    <row r="78">
      <c r="A78" t="str">
        <f>IFERROR(INDEX(Charts!$A$2:$A$500,MATCH(0,INDEX(COUNTIF($A$1:A77,Charts!$A$2:$A$500)+(Charts!$A$2:$A$500=""),0),0)),"")</f>
        <v/>
      </c>
    </row>
    <row r="79">
      <c r="A79" t="str">
        <f>IFERROR(INDEX(Charts!$A$2:$A$500,MATCH(0,INDEX(COUNTIF($A$1:A78,Charts!$A$2:$A$500)+(Charts!$A$2:$A$500=""),0),0)),"")</f>
        <v/>
      </c>
    </row>
    <row r="80">
      <c r="A80" t="str">
        <f>IFERROR(INDEX(Charts!$A$2:$A$500,MATCH(0,INDEX(COUNTIF($A$1:A79,Charts!$A$2:$A$500)+(Charts!$A$2:$A$500=""),0),0)),"")</f>
        <v/>
      </c>
    </row>
    <row r="81">
      <c r="A81" t="str">
        <f>IFERROR(INDEX(Charts!$A$2:$A$500,MATCH(0,INDEX(COUNTIF($A$1:A80,Charts!$A$2:$A$500)+(Charts!$A$2:$A$500=""),0),0)),"")</f>
        <v/>
      </c>
    </row>
    <row r="82">
      <c r="A82" t="str">
        <f>IFERROR(INDEX(Charts!$A$2:$A$500,MATCH(0,INDEX(COUNTIF($A$1:A81,Charts!$A$2:$A$500)+(Charts!$A$2:$A$500=""),0),0)),"")</f>
        <v/>
      </c>
    </row>
    <row r="83">
      <c r="A83" t="str">
        <f>IFERROR(INDEX(Charts!$A$2:$A$500,MATCH(0,INDEX(COUNTIF($A$1:A82,Charts!$A$2:$A$500)+(Charts!$A$2:$A$500=""),0),0)),"")</f>
        <v/>
      </c>
    </row>
    <row r="84">
      <c r="A84" t="str">
        <f>IFERROR(INDEX(Charts!$A$2:$A$500,MATCH(0,INDEX(COUNTIF($A$1:A83,Charts!$A$2:$A$500)+(Charts!$A$2:$A$500=""),0),0)),"")</f>
        <v/>
      </c>
    </row>
    <row r="85">
      <c r="A85" t="str">
        <f>IFERROR(INDEX(Charts!$A$2:$A$500,MATCH(0,INDEX(COUNTIF($A$1:A84,Charts!$A$2:$A$500)+(Charts!$A$2:$A$500=""),0),0)),"")</f>
        <v/>
      </c>
    </row>
    <row r="86">
      <c r="A86" t="str">
        <f>IFERROR(INDEX(Charts!$A$2:$A$500,MATCH(0,INDEX(COUNTIF($A$1:A85,Charts!$A$2:$A$500)+(Charts!$A$2:$A$500=""),0),0)),"")</f>
        <v/>
      </c>
    </row>
    <row r="87">
      <c r="A87" t="str">
        <f>IFERROR(INDEX(Charts!$A$2:$A$500,MATCH(0,INDEX(COUNTIF($A$1:A86,Charts!$A$2:$A$500)+(Charts!$A$2:$A$500=""),0),0)),"")</f>
        <v/>
      </c>
    </row>
    <row r="88">
      <c r="A88" t="str">
        <f>IFERROR(INDEX(Charts!$A$2:$A$500,MATCH(0,INDEX(COUNTIF($A$1:A87,Charts!$A$2:$A$500)+(Charts!$A$2:$A$500=""),0),0)),"")</f>
        <v/>
      </c>
    </row>
    <row r="89">
      <c r="A89" t="str">
        <f>IFERROR(INDEX(Charts!$A$2:$A$500,MATCH(0,INDEX(COUNTIF($A$1:A88,Charts!$A$2:$A$500)+(Charts!$A$2:$A$500=""),0),0)),"")</f>
        <v/>
      </c>
    </row>
    <row r="90">
      <c r="A90" t="str">
        <f>IFERROR(INDEX(Charts!$A$2:$A$500,MATCH(0,INDEX(COUNTIF($A$1:A89,Charts!$A$2:$A$500)+(Charts!$A$2:$A$500=""),0),0)),"")</f>
        <v/>
      </c>
    </row>
    <row r="91">
      <c r="A91" t="str">
        <f>IFERROR(INDEX(Charts!$A$2:$A$500,MATCH(0,INDEX(COUNTIF($A$1:A90,Charts!$A$2:$A$500)+(Charts!$A$2:$A$500=""),0),0)),"")</f>
        <v/>
      </c>
    </row>
    <row r="92">
      <c r="A92" t="str">
        <f>IFERROR(INDEX(Charts!$A$2:$A$500,MATCH(0,INDEX(COUNTIF($A$1:A91,Charts!$A$2:$A$500)+(Charts!$A$2:$A$500=""),0),0)),"")</f>
        <v/>
      </c>
    </row>
    <row r="93">
      <c r="A93" t="str">
        <f>IFERROR(INDEX(Charts!$A$2:$A$500,MATCH(0,INDEX(COUNTIF($A$1:A92,Charts!$A$2:$A$500)+(Charts!$A$2:$A$500=""),0),0)),"")</f>
        <v/>
      </c>
    </row>
    <row r="94">
      <c r="A94" t="str">
        <f>IFERROR(INDEX(Charts!$A$2:$A$500,MATCH(0,INDEX(COUNTIF($A$1:A93,Charts!$A$2:$A$500)+(Charts!$A$2:$A$500=""),0),0)),"")</f>
        <v/>
      </c>
    </row>
    <row r="95">
      <c r="A95" t="str">
        <f>IFERROR(INDEX(Charts!$A$2:$A$500,MATCH(0,INDEX(COUNTIF($A$1:A94,Charts!$A$2:$A$500)+(Charts!$A$2:$A$500=""),0),0)),"")</f>
        <v/>
      </c>
    </row>
    <row r="96">
      <c r="A96" t="str">
        <f>IFERROR(INDEX(Charts!$A$2:$A$500,MATCH(0,INDEX(COUNTIF($A$1:A95,Charts!$A$2:$A$500)+(Charts!$A$2:$A$500=""),0),0)),"")</f>
        <v/>
      </c>
    </row>
    <row r="97">
      <c r="A97" t="str">
        <f>IFERROR(INDEX(Charts!$A$2:$A$500,MATCH(0,INDEX(COUNTIF($A$1:A96,Charts!$A$2:$A$500)+(Charts!$A$2:$A$500=""),0),0)),"")</f>
        <v/>
      </c>
    </row>
    <row r="98">
      <c r="A98" t="str">
        <f>IFERROR(INDEX(Charts!$A$2:$A$500,MATCH(0,INDEX(COUNTIF($A$1:A97,Charts!$A$2:$A$500)+(Charts!$A$2:$A$500=""),0),0)),"")</f>
        <v/>
      </c>
    </row>
    <row r="99">
      <c r="A99" t="str">
        <f>IFERROR(INDEX(Charts!$A$2:$A$500,MATCH(0,INDEX(COUNTIF($A$1:A98,Charts!$A$2:$A$500)+(Charts!$A$2:$A$500=""),0),0)),"")</f>
        <v/>
      </c>
    </row>
    <row r="100">
      <c r="A100" t="str">
        <f>IFERROR(INDEX(Charts!$A$2:$A$500,MATCH(0,INDEX(COUNTIF($A$1:A99,Charts!$A$2:$A$500)+(Charts!$A$2:$A$500=""),0),0)),"")</f>
        <v/>
      </c>
    </row>
    <row r="101">
      <c r="A101" t="str">
        <f>IFERROR(INDEX(Charts!$A$2:$A$500,MATCH(0,INDEX(COUNTIF($A$1:A100,Charts!$A$2:$A$500)+(Charts!$A$2:$A$500=""),0),0)),"")</f>
        <v/>
      </c>
    </row>
  </sheetData>
  <pageMargins left="0.7" right="0.7" top="0.75" bottom="0.75" header="0.3" footer="0.3"/>
</worksheet>
</file>