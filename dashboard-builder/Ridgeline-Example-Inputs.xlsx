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quarterly cash flow for page 2.  One column per quarter, oldest on the left.  Role: Revenue, Expense or Debt service.</t>
        </is>
      </c>
    </row>
    <row r="30">
      <c r="A30" t="inlineStr">
        <is>
          <t xml:space="preserve">               Enter expenses and debt service as positive numbers.  The black "Calculated" rows do the math: Total O&amp;M costs = all Expense</t>
        </is>
      </c>
    </row>
    <row r="31">
      <c r="A31" t="inlineStr">
        <is>
          <t xml:space="preserve">               rows; CFADS = Revenue - Total O&amp;M costs; Total debt service costs = all Debt service rows; DSCR = CFADS / debt service;</t>
        </is>
      </c>
    </row>
    <row r="32">
      <c r="A32" t="inlineStr">
        <is>
          <t xml:space="preserve">               DSCR - LTM = last 4 quarters of CFADS / last 4 quarters of debt service.  To add a line (e.g. LC fees), insert a row</t>
        </is>
      </c>
    </row>
    <row r="33">
      <c r="A33" t="inlineStr">
        <is>
          <t xml:space="preserve">               anywhere and set its Role; the totals pick it up.  The PDF recalculates from the input rows, so it always matches.</t>
        </is>
      </c>
    </row>
    <row r="34">
      <c r="A34" t="inlineStr">
        <is>
          <t xml:space="preserve">Reserves  -  one row per reserve account (DSR, O&amp;M reserve, ...): Required balance and Balance available.  Shown on page 2 below the DSCR chart</t>
        </is>
      </c>
    </row>
    <row r="35">
      <c r="A35" t="inlineStr">
        <is>
          <t xml:space="preserve">               with the % funded; anything under 100% is flagged.</t>
        </is>
      </c>
    </row>
    <row r="36">
      <c r="A36" t="inlineStr">
        <is>
          <t xml:space="preserve">DSCR Notes  -  optional Heading + Text pairs shown on page 2 below the reserves.</t>
        </is>
      </c>
    </row>
    <row r="37"/>
    <row r="38">
      <c r="A38" s="6" t="inlineStr">
        <is>
          <t xml:space="preserve">Tips</t>
        </is>
      </c>
    </row>
    <row r="39">
      <c r="A39" t="inlineStr">
        <is>
          <t xml:space="preserve">-  Do not rename the tabs or the column headers in row 1.  You can add, delete or reorder rows freely.</t>
        </is>
      </c>
    </row>
    <row r="40">
      <c r="A40" t="inlineStr">
        <is>
          <t xml:space="preserve">-  Copy this workbook for each asset (one workbook = one dashboard).</t>
        </is>
      </c>
    </row>
    <row r="41">
      <c r="A41" t="inlineStr">
        <is>
          <t xml:space="preserve">-  The Chart dropdowns list the names on the Charts tab automatically (from a hidden "Lists" tab).  Add a chart there and it appears in the dropdowns.</t>
        </is>
      </c>
    </row>
    <row r="42">
      <c r="A42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4</v>
      </c>
      <c r="C27" s="2" t="inlineStr">
        <is>
          <t xml:space="preserve">How many of the most recent quarters page 2 shows (1-8).  Enter 3 extra older quarters to show an LTM DSCR for every quarter shown.</t>
        </is>
      </c>
    </row>
    <row r="28">
      <c r="A28" s="6" t="inlineStr">
        <is>
          <t xml:space="preserve">Distribution lock-up DSCR</t>
        </is>
      </c>
      <c r="B28" s="8">
        <v>1.25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2</v>
      </c>
      <c r="C32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  <c r="O2" s="8" t="inlineStr">
        <is>
          <t xml:space="preserve">Monthly</t>
        </is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12">
        <f>IF($C3="",SUMIFS(INDEX(Charts!$E$2:$P$500,0,CurMonthNum),Charts!$A$2:$A$500,$B3,Charts!$C$2:$C$500,CurYear),SUMIFS(INDEX(Charts!$E$2:$P$500,0,CurMonthNum),Charts!$A$2:$A$500,$B3,Charts!$C$2:$C$500,CurYear,Charts!$B$2:$B$500,$C3))</f>
        <v>228</v>
      </c>
      <c r="L3" s="9">
        <v>241</v>
      </c>
      <c r="M3" s="12">
        <f>SUMPRODUCT((Charts!$A$2:$A$500=$B3)*(Charts!$C$2:$C$500=CurYear)*((($C3="")+(Charts!$B$2:$B$500=$C3))&gt;0)*(COLUMN(Charts!$E$1:$P$1)-COLUMN(Charts!$E$1)&lt;CurMonthNum),Charts!$E$2:$P$500)/IF($D3="Average",CurMonthNum,1)</f>
        <v>1610</v>
      </c>
      <c r="N3" s="9">
        <v>1712</v>
      </c>
      <c r="O3" s="8" t="inlineStr">
        <is>
          <t xml:space="preserve">Monthly</t>
        </is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12">
        <f>IF($C4="",SUMIFS(INDEX(Charts!$E$2:$P$500,0,CurMonthNum),Charts!$A$2:$A$500,$B4,Charts!$C$2:$C$500,CurYear),SUMIFS(INDEX(Charts!$E$2:$P$500,0,CurMonthNum),Charts!$A$2:$A$500,$B4,Charts!$C$2:$C$500,CurYear,Charts!$B$2:$B$500,$C4))</f>
        <v>57</v>
      </c>
      <c r="L4" s="9">
        <v>50</v>
      </c>
      <c r="M4" s="12">
        <f>SUMPRODUCT((Charts!$A$2:$A$500=$B4)*(Charts!$C$2:$C$500=CurYear)*((($C4="")+(Charts!$B$2:$B$500=$C4))&gt;0)*(COLUMN(Charts!$E$1:$P$1)-COLUMN(Charts!$E$1)&lt;CurMonthNum),Charts!$E$2:$P$500)/IF($D4="Average",CurMonthNum,1)</f>
        <v>411</v>
      </c>
      <c r="N4" s="9">
        <v>398</v>
      </c>
      <c r="O4" s="8" t="inlineStr">
        <is>
          <t xml:space="preserve">Monthly</t>
        </is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2">
        <f>IF($C5="",SUMIFS(INDEX(Charts!$E$2:$P$500,0,CurMonthNum),Charts!$A$2:$A$500,$B5,Charts!$C$2:$C$500,CurYear),SUMIFS(INDEX(Charts!$E$2:$P$500,0,CurMonthNum),Charts!$A$2:$A$500,$B5,Charts!$C$2:$C$500,CurYear,Charts!$B$2:$B$500,$C5))</f>
        <v>285</v>
      </c>
      <c r="L5" s="9">
        <v>291</v>
      </c>
      <c r="M5" s="12">
        <f>SUMPRODUCT((Charts!$A$2:$A$500=$B5)*(Charts!$C$2:$C$500=CurYear)*((($C5="")+(Charts!$B$2:$B$500=$C5))&gt;0)*(COLUMN(Charts!$E$1:$P$1)-COLUMN(Charts!$E$1)&lt;CurMonthNum),Charts!$E$2:$P$500)/IF($D5="Average",CurMonthNum,1)</f>
        <v>2021</v>
      </c>
      <c r="N5" s="9">
        <v>2110</v>
      </c>
      <c r="O5" s="8" t="inlineStr">
        <is>
          <t xml:space="preserve">Monthly</t>
        </is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13">
        <f>IF($C6="",SUMIFS(INDEX(Charts!$E$2:$P$500,0,CurMonthNum),Charts!$A$2:$A$500,$B6,Charts!$C$2:$C$500,CurYear),SUMIFS(INDEX(Charts!$E$2:$P$500,0,CurMonthNum),Charts!$A$2:$A$500,$B6,Charts!$C$2:$C$500,CurYear,Charts!$B$2:$B$500,$C6))</f>
        <v>5.49</v>
      </c>
      <c r="L6" s="9">
        <v>5.6</v>
      </c>
      <c r="M6" s="13">
        <f>SUMPRODUCT((Charts!$A$2:$A$500=$B6)*(Charts!$C$2:$C$500=CurYear)*((($C6="")+(Charts!$B$2:$B$500=$C6))&gt;0)*(COLUMN(Charts!$E$1:$P$1)-COLUMN(Charts!$E$1)&lt;CurMonthNum),Charts!$E$2:$P$500)/IF($D6="Average",CurMonthNum,1)</f>
        <v>39.6</v>
      </c>
      <c r="N6" s="9">
        <v>41.3</v>
      </c>
      <c r="O6" s="8" t="inlineStr">
        <is>
          <t xml:space="preserve">Pro-rated quarterly</t>
        </is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13">
        <f>IF($C7="",SUMIFS(INDEX(Charts!$E$2:$P$500,0,CurMonthNum),Charts!$A$2:$A$500,$B7,Charts!$C$2:$C$500,CurYear),SUMIFS(INDEX(Charts!$E$2:$P$500,0,CurMonthNum),Charts!$A$2:$A$500,$B7,Charts!$C$2:$C$500,CurYear,Charts!$B$2:$B$500,$C7))</f>
        <v>0.82</v>
      </c>
      <c r="L7" s="9">
        <v>0.9</v>
      </c>
      <c r="M7" s="13">
        <f>SUMPRODUCT((Charts!$A$2:$A$500=$B7)*(Charts!$C$2:$C$500=CurYear)*((($C7="")+(Charts!$B$2:$B$500=$C7))&gt;0)*(COLUMN(Charts!$E$1:$P$1)-COLUMN(Charts!$E$1)&lt;CurMonthNum),Charts!$E$2:$P$500)/IF($D7="Average",CurMonthNum,1)</f>
        <v>6.34</v>
      </c>
      <c r="N7" s="9">
        <v>6.2</v>
      </c>
      <c r="O7" s="8" t="inlineStr">
        <is>
          <t xml:space="preserve">Pro-rated quarterly</t>
        </is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13">
        <f>IF($C8="",SUMIFS(INDEX(Charts!$E$2:$P$500,0,CurMonthNum),Charts!$A$2:$A$500,$B8,Charts!$C$2:$C$500,CurYear),SUMIFS(INDEX(Charts!$E$2:$P$500,0,CurMonthNum),Charts!$A$2:$A$500,$B8,Charts!$C$2:$C$500,CurYear,Charts!$B$2:$B$500,$C8))</f>
        <v>6.31</v>
      </c>
      <c r="L8" s="9">
        <v>6.5</v>
      </c>
      <c r="M8" s="13">
        <f>SUMPRODUCT((Charts!$A$2:$A$500=$B8)*(Charts!$C$2:$C$500=CurYear)*((($C8="")+(Charts!$B$2:$B$500=$C8))&gt;0)*(COLUMN(Charts!$E$1:$P$1)-COLUMN(Charts!$E$1)&lt;CurMonthNum),Charts!$E$2:$P$500)/IF($D8="Average",CurMonthNum,1)</f>
        <v>45.94</v>
      </c>
      <c r="N8" s="9">
        <v>47.5</v>
      </c>
      <c r="O8" s="8" t="inlineStr">
        <is>
          <t xml:space="preserve">Pro-rated quarterly</t>
        </is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13">
        <f>IF($C9="",SUMIFS(INDEX(Charts!$E$2:$P$500,0,CurMonthNum),Charts!$A$2:$A$500,$B9,Charts!$C$2:$C$500,CurYear),SUMIFS(INDEX(Charts!$E$2:$P$500,0,CurMonthNum),Charts!$A$2:$A$500,$B9,Charts!$C$2:$C$500,CurYear,Charts!$B$2:$B$500,$C9))</f>
        <v>4.79</v>
      </c>
      <c r="L9" s="9">
        <v>5.1</v>
      </c>
      <c r="M9" s="13">
        <f>SUMPRODUCT((Charts!$A$2:$A$500=$B9)*(Charts!$C$2:$C$500=CurYear)*((($C9="")+(Charts!$B$2:$B$500=$C9))&gt;0)*(COLUMN(Charts!$E$1:$P$1)-COLUMN(Charts!$E$1)&lt;CurMonthNum),Charts!$E$2:$P$500)/IF($D9="Average",CurMonthNum,1)</f>
        <v>34.14</v>
      </c>
      <c r="N9" s="9">
        <v>36</v>
      </c>
      <c r="O9" s="8" t="inlineStr">
        <is>
          <t xml:space="preserve">Pro-rated annual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$15.80MM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Q4 2024</t>
        </is>
      </c>
      <c r="D1" s="1" t="inlineStr">
        <is>
          <t xml:space="preserve">Q1 2025</t>
        </is>
      </c>
      <c r="E1" s="1" t="inlineStr">
        <is>
          <t xml:space="preserve">Q2 2025</t>
        </is>
      </c>
      <c r="F1" s="1" t="inlineStr">
        <is>
          <t xml:space="preserve">Q3 2025</t>
        </is>
      </c>
      <c r="G1" s="1" t="inlineStr">
        <is>
          <t xml:space="preserve">Q4 2025</t>
        </is>
      </c>
      <c r="H1" s="1" t="inlineStr">
        <is>
          <t xml:space="preserve">Q1 2026</t>
        </is>
      </c>
      <c r="I1" s="1" t="inlineStr">
        <is>
          <t xml:space="preserve">Q2 2026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28.41</v>
      </c>
      <c r="D2" s="10">
        <v>30.12</v>
      </c>
      <c r="E2" s="10">
        <v>27.23</v>
      </c>
      <c r="F2" s="10">
        <v>35.64</v>
      </c>
      <c r="G2" s="10">
        <v>29.02</v>
      </c>
      <c r="H2" s="10">
        <v>31.27</v>
      </c>
      <c r="I2" s="10">
        <v>24.81</v>
      </c>
    </row>
    <row r="3">
      <c r="A3" s="8" t="inlineStr">
        <is>
          <t xml:space="preserve">O&amp;M</t>
        </is>
      </c>
      <c r="B3" s="8" t="inlineStr">
        <is>
          <t xml:space="preserve">Expense</t>
        </is>
      </c>
      <c r="C3" s="10">
        <v>9.18</v>
      </c>
      <c r="D3" s="10">
        <v>9.51</v>
      </c>
      <c r="E3" s="10">
        <v>9.09</v>
      </c>
      <c r="F3" s="10">
        <v>10.42</v>
      </c>
      <c r="G3" s="10">
        <v>9.33</v>
      </c>
      <c r="H3" s="10">
        <v>9.61</v>
      </c>
      <c r="I3" s="10">
        <v>11.84</v>
      </c>
    </row>
    <row r="4">
      <c r="A4" s="8" t="inlineStr">
        <is>
          <t xml:space="preserve">Property taxes</t>
        </is>
      </c>
      <c r="B4" s="8" t="inlineStr">
        <is>
          <t xml:space="preserve">Expense</t>
        </is>
      </c>
      <c r="C4" s="10">
        <v>1.2</v>
      </c>
      <c r="D4" s="10">
        <v>1.2</v>
      </c>
      <c r="E4" s="10">
        <v>1.2</v>
      </c>
      <c r="F4" s="10">
        <v>1.2</v>
      </c>
      <c r="G4" s="10">
        <v>1.25</v>
      </c>
      <c r="H4" s="10">
        <v>1.25</v>
      </c>
      <c r="I4" s="10">
        <v>1.25</v>
      </c>
    </row>
    <row r="5">
      <c r="A5" s="8" t="inlineStr">
        <is>
          <t xml:space="preserve">Other taxes</t>
        </is>
      </c>
      <c r="B5" s="8" t="inlineStr">
        <is>
          <t xml:space="preserve">Expense</t>
        </is>
      </c>
      <c r="C5" s="10">
        <v>0.52</v>
      </c>
      <c r="D5" s="10">
        <v>0.48</v>
      </c>
      <c r="E5" s="10">
        <v>0.61</v>
      </c>
      <c r="F5" s="10">
        <v>0.73</v>
      </c>
      <c r="G5" s="10">
        <v>0.5</v>
      </c>
      <c r="H5" s="10">
        <v>0.47</v>
      </c>
      <c r="I5" s="10">
        <v>0.41</v>
      </c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SUMIF($B$2:$B$200,"Expense",C$2:C$200)</f>
        <v>10.9</v>
      </c>
      <c r="D6" s="15">
        <f>SUMIF($B$2:$B$200,"Expense",D$2:D$200)</f>
        <v>11.19</v>
      </c>
      <c r="E6" s="15">
        <f>SUMIF($B$2:$B$200,"Expense",E$2:E$200)</f>
        <v>10.9</v>
      </c>
      <c r="F6" s="15">
        <f>SUMIF($B$2:$B$200,"Expense",F$2:F$200)</f>
        <v>12.35</v>
      </c>
      <c r="G6" s="15">
        <f>SUMIF($B$2:$B$200,"Expense",G$2:G$200)</f>
        <v>11.08</v>
      </c>
      <c r="H6" s="15">
        <f>SUMIF($B$2:$B$200,"Expense",H$2:H$200)</f>
        <v>11.33</v>
      </c>
      <c r="I6" s="15">
        <f>SUMIF($B$2:$B$200,"Expense",I$2:I$200)</f>
        <v>13.5</v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SUMIF($B$2:$B$200,"Revenue",C$2:C$200)-SUMIF($B$2:$B$200,"Expense",C$2:C$200)</f>
        <v>17.51</v>
      </c>
      <c r="D7" s="15">
        <f>SUMIF($B$2:$B$200,"Revenue",D$2:D$200)-SUMIF($B$2:$B$200,"Expense",D$2:D$200)</f>
        <v>18.93</v>
      </c>
      <c r="E7" s="15">
        <f>SUMIF($B$2:$B$200,"Revenue",E$2:E$200)-SUMIF($B$2:$B$200,"Expense",E$2:E$200)</f>
        <v>16.33</v>
      </c>
      <c r="F7" s="15">
        <f>SUMIF($B$2:$B$200,"Revenue",F$2:F$200)-SUMIF($B$2:$B$200,"Expense",F$2:F$200)</f>
        <v>23.29</v>
      </c>
      <c r="G7" s="15">
        <f>SUMIF($B$2:$B$200,"Revenue",G$2:G$200)-SUMIF($B$2:$B$200,"Expense",G$2:G$200)</f>
        <v>17.94</v>
      </c>
      <c r="H7" s="15">
        <f>SUMIF($B$2:$B$200,"Revenue",H$2:H$200)-SUMIF($B$2:$B$200,"Expense",H$2:H$200)</f>
        <v>19.94</v>
      </c>
      <c r="I7" s="15">
        <f>SUMIF($B$2:$B$200,"Revenue",I$2:I$200)-SUMIF($B$2:$B$200,"Expense",I$2:I$200)</f>
        <v>11.31</v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4.4</v>
      </c>
      <c r="D9" s="10">
        <v>4.5</v>
      </c>
      <c r="E9" s="10">
        <v>4.6</v>
      </c>
      <c r="F9" s="10">
        <v>4.6</v>
      </c>
      <c r="G9" s="10">
        <v>4.7</v>
      </c>
      <c r="H9" s="10">
        <v>4.8</v>
      </c>
      <c r="I9" s="10">
        <v>4.9</v>
      </c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3.31</v>
      </c>
      <c r="D10" s="10">
        <v>3.25</v>
      </c>
      <c r="E10" s="10">
        <v>3.2</v>
      </c>
      <c r="F10" s="10">
        <v>3.15</v>
      </c>
      <c r="G10" s="10">
        <v>3.1</v>
      </c>
      <c r="H10" s="10">
        <v>3.05</v>
      </c>
      <c r="I10" s="10">
        <v>3</v>
      </c>
    </row>
    <row r="11">
      <c r="A11" s="6" t="inlineStr">
        <is>
          <t xml:space="preserve">Total debt service costs</t>
        </is>
      </c>
      <c r="B11" s="2" t="inlineStr">
        <is>
          <t xml:space="preserve">Calculated</t>
        </is>
      </c>
      <c r="C11" s="15">
        <f>SUMIF($B$2:$B$200,"Debt service",C$2:C$200)</f>
        <v>7.71</v>
      </c>
      <c r="D11" s="15">
        <f>SUMIF($B$2:$B$200,"Debt service",D$2:D$200)</f>
        <v>7.75</v>
      </c>
      <c r="E11" s="15">
        <f>SUMIF($B$2:$B$200,"Debt service",E$2:E$200)</f>
        <v>7.8</v>
      </c>
      <c r="F11" s="15">
        <f>SUMIF($B$2:$B$200,"Debt service",F$2:F$200)</f>
        <v>7.75</v>
      </c>
      <c r="G11" s="15">
        <f>SUMIF($B$2:$B$200,"Debt service",G$2:G$200)</f>
        <v>7.8</v>
      </c>
      <c r="H11" s="15">
        <f>SUMIF($B$2:$B$200,"Debt service",H$2:H$200)</f>
        <v>7.85</v>
      </c>
      <c r="I11" s="15">
        <f>SUMIF($B$2:$B$200,"Debt service",I$2:I$200)</f>
        <v>7.9</v>
      </c>
    </row>
    <row r="12"/>
    <row r="13">
      <c r="A13" s="6" t="inlineStr">
        <is>
          <t xml:space="preserve">DSCR - quarter</t>
        </is>
      </c>
      <c r="B13" s="2" t="inlineStr">
        <is>
          <t xml:space="preserve">Calculated</t>
        </is>
      </c>
      <c r="C13" s="16">
        <f>IFERROR(C7/C11,"")</f>
        <v>2.271077</v>
      </c>
      <c r="D13" s="16">
        <f>IFERROR(D7/D11,"")</f>
        <v>2.442581</v>
      </c>
      <c r="E13" s="16">
        <f>IFERROR(E7/E11,"")</f>
        <v>2.09359</v>
      </c>
      <c r="F13" s="16">
        <f>IFERROR(F7/F11,"")</f>
        <v>3.005161</v>
      </c>
      <c r="G13" s="16">
        <f>IFERROR(G7/G11,"")</f>
        <v>2.3</v>
      </c>
      <c r="H13" s="16">
        <f>IFERROR(H7/H11,"")</f>
        <v>2.540127</v>
      </c>
      <c r="I13" s="16">
        <f>IFERROR(I7/I11,"")</f>
        <v>1.431646</v>
      </c>
    </row>
    <row r="14">
      <c r="A14" s="6" t="inlineStr">
        <is>
          <t xml:space="preserve">DSCR - LTM</t>
        </is>
      </c>
      <c r="B14" s="2" t="inlineStr">
        <is>
          <t xml:space="preserve">Calculated</t>
        </is>
      </c>
      <c r="C14" s="16" t="str">
        <f>""</f>
        <v/>
      </c>
      <c r="D14" s="16" t="str">
        <f>""</f>
        <v/>
      </c>
      <c r="E14" s="16" t="str">
        <f>""</f>
        <v/>
      </c>
      <c r="F14" s="16">
        <f>IFERROR(SUM(C7:F7)/SUM(C11:F11),"")</f>
        <v>2.452757</v>
      </c>
      <c r="G14" s="16">
        <f>IFERROR(SUM(D7:G7)/SUM(D11:G11),"")</f>
        <v>2.459486</v>
      </c>
      <c r="H14" s="16">
        <f>IFERROR(SUM(E7:H7)/SUM(E11:H11),"")</f>
        <v>2.483974</v>
      </c>
      <c r="I14" s="16">
        <f>IFERROR(SUM(F7:I7)/SUM(F11:I11),"")</f>
        <v>2.315655</v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15.8</v>
      </c>
      <c r="C2" s="10">
        <v>15.8</v>
      </c>
    </row>
    <row r="3">
      <c r="A3" s="8" t="inlineStr">
        <is>
          <t xml:space="preserve">O&amp;M reserve</t>
        </is>
      </c>
      <c r="B3" s="10">
        <v>4.1</v>
      </c>
      <c r="C3" s="10">
        <v>4.1</v>
      </c>
    </row>
    <row r="4">
      <c r="A4" s="8" t="inlineStr">
        <is>
          <t xml:space="preserve">Major maintenance reserve</t>
        </is>
      </c>
      <c r="B4" s="10">
        <v>6</v>
      </c>
      <c r="C4" s="10">
        <v>5.2</v>
      </c>
    </row>
    <row r="5">
      <c r="A5" s="8"/>
      <c r="B5" s="10"/>
      <c r="C5" s="10"/>
    </row>
    <row r="6">
      <c r="A6" s="8"/>
      <c r="B6" s="10"/>
      <c r="C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