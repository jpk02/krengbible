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RIDGELINE POWER PARTNERS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Metrics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Table + 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Liquidity and Monitoring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32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Ridgeline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Net generation (GWh)</t>
        </is>
      </c>
      <c r="B2" s="8" t="inlineStr">
        <is>
          <t xml:space="preserve">Contracted</t>
        </is>
      </c>
      <c r="C2" s="8">
        <v>2026</v>
      </c>
      <c r="D2" s="8">
        <v>0</v>
      </c>
      <c r="E2" s="9">
        <v>205</v>
      </c>
      <c r="F2" s="9">
        <v>188</v>
      </c>
      <c r="G2" s="9">
        <v>196</v>
      </c>
      <c r="H2" s="9">
        <v>112</v>
      </c>
      <c r="I2" s="9">
        <v>214</v>
      </c>
      <c r="J2" s="9">
        <v>231</v>
      </c>
      <c r="K2" s="9">
        <v>236</v>
      </c>
      <c r="L2" s="9">
        <v>228</v>
      </c>
      <c r="M2" s="9"/>
      <c r="N2" s="9"/>
      <c r="O2" s="9"/>
      <c r="P2" s="9"/>
    </row>
    <row r="3">
      <c r="A3" s="8" t="inlineStr">
        <is>
          <t xml:space="preserve">Net generation (GWh)</t>
        </is>
      </c>
      <c r="B3" s="8" t="inlineStr">
        <is>
          <t xml:space="preserve">Merchant</t>
        </is>
      </c>
      <c r="C3" s="8">
        <v>2026</v>
      </c>
      <c r="D3" s="8">
        <v>0</v>
      </c>
      <c r="E3" s="9">
        <v>48</v>
      </c>
      <c r="F3" s="9">
        <v>35</v>
      </c>
      <c r="G3" s="9">
        <v>52</v>
      </c>
      <c r="H3" s="9">
        <v>21</v>
      </c>
      <c r="I3" s="9">
        <v>44</v>
      </c>
      <c r="J3" s="9">
        <v>73</v>
      </c>
      <c r="K3" s="9">
        <v>81</v>
      </c>
      <c r="L3" s="9">
        <v>57</v>
      </c>
      <c r="M3" s="9"/>
      <c r="N3" s="9"/>
      <c r="O3" s="9"/>
      <c r="P3" s="9"/>
    </row>
    <row r="4">
      <c r="A4" s="8" t="inlineStr">
        <is>
          <t xml:space="preserve">Net generation (GWh)</t>
        </is>
      </c>
      <c r="B4" s="8" t="inlineStr">
        <is>
          <t xml:space="preserve">Contracted</t>
        </is>
      </c>
      <c r="C4" s="8">
        <v>2025</v>
      </c>
      <c r="D4" s="8">
        <v>0</v>
      </c>
      <c r="E4" s="9">
        <v>198</v>
      </c>
      <c r="F4" s="9">
        <v>182</v>
      </c>
      <c r="G4" s="9">
        <v>190</v>
      </c>
      <c r="H4" s="9">
        <v>168</v>
      </c>
      <c r="I4" s="9">
        <v>207</v>
      </c>
      <c r="J4" s="9">
        <v>224</v>
      </c>
      <c r="K4" s="9">
        <v>229</v>
      </c>
      <c r="L4" s="9">
        <v>221</v>
      </c>
      <c r="M4" s="9">
        <v>201</v>
      </c>
      <c r="N4" s="9">
        <v>186</v>
      </c>
      <c r="O4" s="9">
        <v>192</v>
      </c>
      <c r="P4" s="9">
        <v>203</v>
      </c>
    </row>
    <row r="5">
      <c r="A5" s="8" t="inlineStr">
        <is>
          <t xml:space="preserve">Net generation (GWh)</t>
        </is>
      </c>
      <c r="B5" s="8" t="inlineStr">
        <is>
          <t xml:space="preserve">Merchant</t>
        </is>
      </c>
      <c r="C5" s="8">
        <v>2025</v>
      </c>
      <c r="D5" s="8">
        <v>0</v>
      </c>
      <c r="E5" s="9">
        <v>66</v>
      </c>
      <c r="F5" s="9">
        <v>51</v>
      </c>
      <c r="G5" s="9">
        <v>58</v>
      </c>
      <c r="H5" s="9">
        <v>72</v>
      </c>
      <c r="I5" s="9">
        <v>60</v>
      </c>
      <c r="J5" s="9">
        <v>88</v>
      </c>
      <c r="K5" s="9">
        <v>94</v>
      </c>
      <c r="L5" s="9">
        <v>79</v>
      </c>
      <c r="M5" s="9">
        <v>55</v>
      </c>
      <c r="N5" s="9">
        <v>47</v>
      </c>
      <c r="O5" s="9">
        <v>53</v>
      </c>
      <c r="P5" s="9">
        <v>62</v>
      </c>
    </row>
    <row r="6">
      <c r="A6" s="8" t="inlineStr">
        <is>
          <t xml:space="preserve">Gross margin ($MM)</t>
        </is>
      </c>
      <c r="B6" s="8" t="inlineStr">
        <is>
          <t xml:space="preserve">Contracted</t>
        </is>
      </c>
      <c r="C6" s="8">
        <v>2026</v>
      </c>
      <c r="D6" s="8">
        <v>1</v>
      </c>
      <c r="E6" s="10">
        <v>5.02</v>
      </c>
      <c r="F6" s="10">
        <v>4.61</v>
      </c>
      <c r="G6" s="10">
        <v>4.83</v>
      </c>
      <c r="H6" s="10">
        <v>3.12</v>
      </c>
      <c r="I6" s="10">
        <v>5.18</v>
      </c>
      <c r="J6" s="10">
        <v>5.64</v>
      </c>
      <c r="K6" s="10">
        <v>5.71</v>
      </c>
      <c r="L6" s="10">
        <v>5.49</v>
      </c>
      <c r="M6" s="10"/>
      <c r="N6" s="10"/>
      <c r="O6" s="10"/>
      <c r="P6" s="10"/>
    </row>
    <row r="7">
      <c r="A7" s="8" t="inlineStr">
        <is>
          <t xml:space="preserve">Gross margin ($MM)</t>
        </is>
      </c>
      <c r="B7" s="8" t="inlineStr">
        <is>
          <t xml:space="preserve">Merchant</t>
        </is>
      </c>
      <c r="C7" s="8">
        <v>2026</v>
      </c>
      <c r="D7" s="8">
        <v>1</v>
      </c>
      <c r="E7" s="10">
        <v>0.58</v>
      </c>
      <c r="F7" s="10">
        <v>0.41</v>
      </c>
      <c r="G7" s="10">
        <v>0.66</v>
      </c>
      <c r="H7" s="10">
        <v>0.22</v>
      </c>
      <c r="I7" s="10">
        <v>0.53</v>
      </c>
      <c r="J7" s="10">
        <v>1.38</v>
      </c>
      <c r="K7" s="10">
        <v>1.74</v>
      </c>
      <c r="L7" s="10">
        <v>0.82</v>
      </c>
      <c r="M7" s="10"/>
      <c r="N7" s="10"/>
      <c r="O7" s="10"/>
      <c r="P7" s="10"/>
    </row>
    <row r="8">
      <c r="A8" s="8" t="inlineStr">
        <is>
          <t xml:space="preserve">Gross margin ($MM)</t>
        </is>
      </c>
      <c r="B8" s="8" t="inlineStr">
        <is>
          <t xml:space="preserve">Contracted</t>
        </is>
      </c>
      <c r="C8" s="8">
        <v>2025</v>
      </c>
      <c r="D8" s="8">
        <v>1</v>
      </c>
      <c r="E8" s="9">
        <v>4.8</v>
      </c>
      <c r="F8" s="9">
        <v>4.4</v>
      </c>
      <c r="G8" s="9">
        <v>4.6</v>
      </c>
      <c r="H8" s="9">
        <v>4.1</v>
      </c>
      <c r="I8" s="9">
        <v>5</v>
      </c>
      <c r="J8" s="9">
        <v>5.4</v>
      </c>
      <c r="K8" s="9">
        <v>5.5</v>
      </c>
      <c r="L8" s="9">
        <v>5.3</v>
      </c>
      <c r="M8" s="9">
        <v>4.9</v>
      </c>
      <c r="N8" s="9">
        <v>4.5</v>
      </c>
      <c r="O8" s="9">
        <v>4.7</v>
      </c>
      <c r="P8" s="9">
        <v>4.9</v>
      </c>
    </row>
    <row r="9">
      <c r="A9" s="8" t="inlineStr">
        <is>
          <t xml:space="preserve">Gross margin ($MM)</t>
        </is>
      </c>
      <c r="B9" s="8" t="inlineStr">
        <is>
          <t xml:space="preserve">Merchant</t>
        </is>
      </c>
      <c r="C9" s="8">
        <v>2025</v>
      </c>
      <c r="D9" s="8">
        <v>1</v>
      </c>
      <c r="E9" s="9">
        <v>0.9</v>
      </c>
      <c r="F9" s="9">
        <v>0.6</v>
      </c>
      <c r="G9" s="9">
        <v>0.8</v>
      </c>
      <c r="H9" s="9">
        <v>1.1</v>
      </c>
      <c r="I9" s="9">
        <v>0.8</v>
      </c>
      <c r="J9" s="9">
        <v>1.8</v>
      </c>
      <c r="K9" s="9">
        <v>2.1</v>
      </c>
      <c r="L9" s="9">
        <v>1.2</v>
      </c>
      <c r="M9" s="9">
        <v>0.7</v>
      </c>
      <c r="N9" s="9">
        <v>0.5</v>
      </c>
      <c r="O9" s="9">
        <v>0.6</v>
      </c>
      <c r="P9" s="9">
        <v>0.8</v>
      </c>
    </row>
    <row r="10">
      <c r="A10" s="8" t="inlineStr">
        <is>
          <t xml:space="preserve">EBITDA ($MM)</t>
        </is>
      </c>
      <c r="B10" s="8"/>
      <c r="C10" s="8">
        <v>2026</v>
      </c>
      <c r="D10" s="8">
        <v>1</v>
      </c>
      <c r="E10" s="10">
        <v>4.12</v>
      </c>
      <c r="F10" s="10">
        <v>3.58</v>
      </c>
      <c r="G10" s="10">
        <v>3.97</v>
      </c>
      <c r="H10" s="10">
        <v>2.21</v>
      </c>
      <c r="I10" s="10">
        <v>4.23</v>
      </c>
      <c r="J10" s="10">
        <v>5.41</v>
      </c>
      <c r="K10" s="10">
        <v>5.83</v>
      </c>
      <c r="L10" s="10">
        <v>4.79</v>
      </c>
      <c r="M10" s="10"/>
      <c r="N10" s="10"/>
      <c r="O10" s="10"/>
      <c r="P10" s="10"/>
    </row>
    <row r="11">
      <c r="A11" s="8" t="inlineStr">
        <is>
          <t xml:space="preserve">EBITDA ($MM)</t>
        </is>
      </c>
      <c r="B11" s="8"/>
      <c r="C11" s="8">
        <v>2025</v>
      </c>
      <c r="D11" s="8">
        <v>1</v>
      </c>
      <c r="E11" s="9">
        <v>4.2</v>
      </c>
      <c r="F11" s="9">
        <v>3.6</v>
      </c>
      <c r="G11" s="9">
        <v>3.9</v>
      </c>
      <c r="H11" s="9">
        <v>3.7</v>
      </c>
      <c r="I11" s="9">
        <v>4.3</v>
      </c>
      <c r="J11" s="9">
        <v>5.7</v>
      </c>
      <c r="K11" s="9">
        <v>6</v>
      </c>
      <c r="L11" s="9">
        <v>5</v>
      </c>
      <c r="M11" s="9">
        <v>4.1</v>
      </c>
      <c r="N11" s="9">
        <v>3.5</v>
      </c>
      <c r="O11" s="9">
        <v>3.8</v>
      </c>
      <c r="P11" s="9">
        <v>4.2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Apr</t>
        </is>
      </c>
      <c r="C2" s="8" t="inlineStr">
        <is>
          <t xml:space="preserve">Unit 1 planned major outage April 6-24.</t>
        </is>
      </c>
    </row>
    <row r="3">
      <c r="A3" s="8" t="inlineStr">
        <is>
          <t xml:space="preserve">Gross margin ($MM)</t>
        </is>
      </c>
      <c r="B3" s="8" t="inlineStr">
        <is>
          <t xml:space="preserve">Jul</t>
        </is>
      </c>
      <c r="C3" s="8" t="inlineStr">
        <is>
          <t xml:space="preserve">Merchant margin lifted by the July 14-22 heat wave price spike.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Capacity factor</t>
        </is>
      </c>
      <c r="B2" s="8"/>
      <c r="C2" s="8"/>
      <c r="D2" s="8" t="inlineStr">
        <is>
          <t xml:space="preserve">Average</t>
        </is>
      </c>
      <c r="E2" s="8"/>
      <c r="F2" s="8" t="inlineStr">
        <is>
          <t xml:space="preserve">%</t>
        </is>
      </c>
      <c r="G2" s="8">
        <v>1</v>
      </c>
      <c r="H2" s="8" t="inlineStr">
        <is>
          <t xml:space="preserve">Higher</t>
        </is>
      </c>
      <c r="I2" s="8" t="inlineStr">
        <is>
          <t xml:space="preserve">Pts</t>
        </is>
      </c>
      <c r="J2" s="8"/>
      <c r="K2" s="9">
        <v>88.4</v>
      </c>
      <c r="L2" s="9">
        <v>93</v>
      </c>
      <c r="M2" s="9">
        <v>84.9</v>
      </c>
      <c r="N2" s="9">
        <v>85.2</v>
      </c>
      <c r="O2" s="8" t="inlineStr">
        <is>
          <t xml:space="preserve">Monthly</t>
        </is>
      </c>
    </row>
    <row r="3">
      <c r="A3" s="8" t="inlineStr">
        <is>
          <t xml:space="preserve">Contracted generation</t>
        </is>
      </c>
      <c r="B3" s="8" t="inlineStr">
        <is>
          <t xml:space="preserve">Net generation (GWh)</t>
        </is>
      </c>
      <c r="C3" s="8" t="inlineStr">
        <is>
          <t xml:space="preserve">Contracted</t>
        </is>
      </c>
      <c r="D3" s="8" t="inlineStr">
        <is>
          <t xml:space="preserve">Sum</t>
        </is>
      </c>
      <c r="E3" s="8"/>
      <c r="F3" s="8" t="inlineStr">
        <is>
          <t xml:space="preserve"> GWh</t>
        </is>
      </c>
      <c r="G3" s="8">
        <v>0</v>
      </c>
      <c r="H3" s="8" t="inlineStr">
        <is>
          <t xml:space="preserve">Higher</t>
        </is>
      </c>
      <c r="I3" s="8"/>
      <c r="J3" s="8"/>
      <c r="K3" s="12">
        <f>IF($C3="",SUMIFS(INDEX(Charts!$E$2:$P$500,0,CurMonthNum),Charts!$A$2:$A$500,$B3,Charts!$C$2:$C$500,CurYear),SUMIFS(INDEX(Charts!$E$2:$P$500,0,CurMonthNum),Charts!$A$2:$A$500,$B3,Charts!$C$2:$C$500,CurYear,Charts!$B$2:$B$500,$C3))</f>
        <v>228</v>
      </c>
      <c r="L3" s="9">
        <v>241</v>
      </c>
      <c r="M3" s="12">
        <f>SUMPRODUCT((Charts!$A$2:$A$500=$B3)*(Charts!$C$2:$C$500=CurYear)*((($C3="")+(Charts!$B$2:$B$500=$C3))&gt;0)*(COLUMN(Charts!$E$1:$P$1)-COLUMN(Charts!$E$1)&lt;CurMonthNum),Charts!$E$2:$P$500)/IF($D3="Average",CurMonthNum,1)</f>
        <v>1610</v>
      </c>
      <c r="N3" s="9">
        <v>1712</v>
      </c>
      <c r="O3" s="8" t="inlineStr">
        <is>
          <t xml:space="preserve">Monthly</t>
        </is>
      </c>
    </row>
    <row r="4">
      <c r="A4" s="8" t="inlineStr">
        <is>
          <t xml:space="preserve">Merchant generation</t>
        </is>
      </c>
      <c r="B4" s="8" t="inlineStr">
        <is>
          <t xml:space="preserve">Net generation (GWh)</t>
        </is>
      </c>
      <c r="C4" s="8" t="inlineStr">
        <is>
          <t xml:space="preserve">Merchant</t>
        </is>
      </c>
      <c r="D4" s="8" t="inlineStr">
        <is>
          <t xml:space="preserve">Sum</t>
        </is>
      </c>
      <c r="E4" s="8"/>
      <c r="F4" s="8" t="inlineStr">
        <is>
          <t xml:space="preserve"> GWh</t>
        </is>
      </c>
      <c r="G4" s="8">
        <v>0</v>
      </c>
      <c r="H4" s="8" t="inlineStr">
        <is>
          <t xml:space="preserve">Higher</t>
        </is>
      </c>
      <c r="I4" s="8"/>
      <c r="J4" s="8"/>
      <c r="K4" s="12">
        <f>IF($C4="",SUMIFS(INDEX(Charts!$E$2:$P$500,0,CurMonthNum),Charts!$A$2:$A$500,$B4,Charts!$C$2:$C$500,CurYear),SUMIFS(INDEX(Charts!$E$2:$P$500,0,CurMonthNum),Charts!$A$2:$A$500,$B4,Charts!$C$2:$C$500,CurYear,Charts!$B$2:$B$500,$C4))</f>
        <v>57</v>
      </c>
      <c r="L4" s="9">
        <v>50</v>
      </c>
      <c r="M4" s="12">
        <f>SUMPRODUCT((Charts!$A$2:$A$500=$B4)*(Charts!$C$2:$C$500=CurYear)*((($C4="")+(Charts!$B$2:$B$500=$C4))&gt;0)*(COLUMN(Charts!$E$1:$P$1)-COLUMN(Charts!$E$1)&lt;CurMonthNum),Charts!$E$2:$P$500)/IF($D4="Average",CurMonthNum,1)</f>
        <v>411</v>
      </c>
      <c r="N4" s="9">
        <v>398</v>
      </c>
      <c r="O4" s="8" t="inlineStr">
        <is>
          <t xml:space="preserve">Monthly</t>
        </is>
      </c>
    </row>
    <row r="5">
      <c r="A5" s="8" t="inlineStr">
        <is>
          <t xml:space="preserve">Net generation</t>
        </is>
      </c>
      <c r="B5" s="8" t="inlineStr">
        <is>
          <t xml:space="preserve">Net generation (GWh)</t>
        </is>
      </c>
      <c r="C5" s="8"/>
      <c r="D5" s="8" t="inlineStr">
        <is>
          <t xml:space="preserve">Sum</t>
        </is>
      </c>
      <c r="E5" s="8"/>
      <c r="F5" s="8" t="inlineStr">
        <is>
          <t xml:space="preserve"> GWh</t>
        </is>
      </c>
      <c r="G5" s="8">
        <v>0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2">
        <f>IF($C5="",SUMIFS(INDEX(Charts!$E$2:$P$500,0,CurMonthNum),Charts!$A$2:$A$500,$B5,Charts!$C$2:$C$500,CurYear),SUMIFS(INDEX(Charts!$E$2:$P$500,0,CurMonthNum),Charts!$A$2:$A$500,$B5,Charts!$C$2:$C$500,CurYear,Charts!$B$2:$B$500,$C5))</f>
        <v>285</v>
      </c>
      <c r="L5" s="9">
        <v>291</v>
      </c>
      <c r="M5" s="12">
        <f>SUMPRODUCT((Charts!$A$2:$A$500=$B5)*(Charts!$C$2:$C$500=CurYear)*((($C5="")+(Charts!$B$2:$B$500=$C5))&gt;0)*(COLUMN(Charts!$E$1:$P$1)-COLUMN(Charts!$E$1)&lt;CurMonthNum),Charts!$E$2:$P$500)/IF($D5="Average",CurMonthNum,1)</f>
        <v>2021</v>
      </c>
      <c r="N5" s="9">
        <v>2110</v>
      </c>
      <c r="O5" s="8" t="inlineStr">
        <is>
          <t xml:space="preserve">Monthly</t>
        </is>
      </c>
    </row>
    <row r="6">
      <c r="A6" s="8" t="inlineStr">
        <is>
          <t xml:space="preserve">Contracted gross margin</t>
        </is>
      </c>
      <c r="B6" s="8" t="inlineStr">
        <is>
          <t xml:space="preserve">Gross margin ($MM)</t>
        </is>
      </c>
      <c r="C6" s="8" t="inlineStr">
        <is>
          <t xml:space="preserve">Contracted</t>
        </is>
      </c>
      <c r="D6" s="8" t="inlineStr">
        <is>
          <t xml:space="preserve">Sum</t>
        </is>
      </c>
      <c r="E6" s="8" t="inlineStr">
        <is>
          <t xml:space="preserve">$</t>
        </is>
      </c>
      <c r="F6" s="8" t="inlineStr">
        <is>
          <t xml:space="preserve">MM</t>
        </is>
      </c>
      <c r="G6" s="8">
        <v>1</v>
      </c>
      <c r="H6" s="8" t="inlineStr">
        <is>
          <t xml:space="preserve">Higher</t>
        </is>
      </c>
      <c r="I6" s="8"/>
      <c r="J6" s="8"/>
      <c r="K6" s="13">
        <f>IF($C6="",SUMIFS(INDEX(Charts!$E$2:$P$500,0,CurMonthNum),Charts!$A$2:$A$500,$B6,Charts!$C$2:$C$500,CurYear),SUMIFS(INDEX(Charts!$E$2:$P$500,0,CurMonthNum),Charts!$A$2:$A$500,$B6,Charts!$C$2:$C$500,CurYear,Charts!$B$2:$B$500,$C6))</f>
        <v>5.49</v>
      </c>
      <c r="L6" s="9">
        <v>5.6</v>
      </c>
      <c r="M6" s="13">
        <f>SUMPRODUCT((Charts!$A$2:$A$500=$B6)*(Charts!$C$2:$C$500=CurYear)*((($C6="")+(Charts!$B$2:$B$500=$C6))&gt;0)*(COLUMN(Charts!$E$1:$P$1)-COLUMN(Charts!$E$1)&lt;CurMonthNum),Charts!$E$2:$P$500)/IF($D6="Average",CurMonthNum,1)</f>
        <v>39.6</v>
      </c>
      <c r="N6" s="9">
        <v>41.3</v>
      </c>
      <c r="O6" s="8" t="inlineStr">
        <is>
          <t xml:space="preserve">Pro-rated quarterly</t>
        </is>
      </c>
    </row>
    <row r="7">
      <c r="A7" s="8" t="inlineStr">
        <is>
          <t xml:space="preserve">Merchant gross margin</t>
        </is>
      </c>
      <c r="B7" s="8" t="inlineStr">
        <is>
          <t xml:space="preserve">Gross margin ($MM)</t>
        </is>
      </c>
      <c r="C7" s="8" t="inlineStr">
        <is>
          <t xml:space="preserve">Merchant</t>
        </is>
      </c>
      <c r="D7" s="8" t="inlineStr">
        <is>
          <t xml:space="preserve">Sum</t>
        </is>
      </c>
      <c r="E7" s="8" t="inlineStr">
        <is>
          <t xml:space="preserve">$</t>
        </is>
      </c>
      <c r="F7" s="8" t="inlineStr">
        <is>
          <t xml:space="preserve">MM</t>
        </is>
      </c>
      <c r="G7" s="8">
        <v>1</v>
      </c>
      <c r="H7" s="8" t="inlineStr">
        <is>
          <t xml:space="preserve">Higher</t>
        </is>
      </c>
      <c r="I7" s="8"/>
      <c r="J7" s="8"/>
      <c r="K7" s="13">
        <f>IF($C7="",SUMIFS(INDEX(Charts!$E$2:$P$500,0,CurMonthNum),Charts!$A$2:$A$500,$B7,Charts!$C$2:$C$500,CurYear),SUMIFS(INDEX(Charts!$E$2:$P$500,0,CurMonthNum),Charts!$A$2:$A$500,$B7,Charts!$C$2:$C$500,CurYear,Charts!$B$2:$B$500,$C7))</f>
        <v>0.82</v>
      </c>
      <c r="L7" s="9">
        <v>0.9</v>
      </c>
      <c r="M7" s="13">
        <f>SUMPRODUCT((Charts!$A$2:$A$500=$B7)*(Charts!$C$2:$C$500=CurYear)*((($C7="")+(Charts!$B$2:$B$500=$C7))&gt;0)*(COLUMN(Charts!$E$1:$P$1)-COLUMN(Charts!$E$1)&lt;CurMonthNum),Charts!$E$2:$P$500)/IF($D7="Average",CurMonthNum,1)</f>
        <v>6.34</v>
      </c>
      <c r="N7" s="9">
        <v>6.2</v>
      </c>
      <c r="O7" s="8" t="inlineStr">
        <is>
          <t xml:space="preserve">Pro-rated quarterly</t>
        </is>
      </c>
    </row>
    <row r="8">
      <c r="A8" s="8" t="inlineStr">
        <is>
          <t xml:space="preserve">Total gross margin</t>
        </is>
      </c>
      <c r="B8" s="8" t="inlineStr">
        <is>
          <t xml:space="preserve">Gross margin ($MM)</t>
        </is>
      </c>
      <c r="C8" s="8"/>
      <c r="D8" s="8" t="inlineStr">
        <is>
          <t xml:space="preserve">Sum</t>
        </is>
      </c>
      <c r="E8" s="8" t="inlineStr">
        <is>
          <t xml:space="preserve">$</t>
        </is>
      </c>
      <c r="F8" s="8" t="inlineStr">
        <is>
          <t xml:space="preserve">MM</t>
        </is>
      </c>
      <c r="G8" s="8">
        <v>1</v>
      </c>
      <c r="H8" s="8" t="inlineStr">
        <is>
          <t xml:space="preserve">Higher</t>
        </is>
      </c>
      <c r="I8" s="8"/>
      <c r="J8" s="8" t="inlineStr">
        <is>
          <t xml:space="preserve">Y</t>
        </is>
      </c>
      <c r="K8" s="13">
        <f>IF($C8="",SUMIFS(INDEX(Charts!$E$2:$P$500,0,CurMonthNum),Charts!$A$2:$A$500,$B8,Charts!$C$2:$C$500,CurYear),SUMIFS(INDEX(Charts!$E$2:$P$500,0,CurMonthNum),Charts!$A$2:$A$500,$B8,Charts!$C$2:$C$500,CurYear,Charts!$B$2:$B$500,$C8))</f>
        <v>6.31</v>
      </c>
      <c r="L8" s="9">
        <v>6.5</v>
      </c>
      <c r="M8" s="13">
        <f>SUMPRODUCT((Charts!$A$2:$A$500=$B8)*(Charts!$C$2:$C$500=CurYear)*((($C8="")+(Charts!$B$2:$B$500=$C8))&gt;0)*(COLUMN(Charts!$E$1:$P$1)-COLUMN(Charts!$E$1)&lt;CurMonthNum),Charts!$E$2:$P$500)/IF($D8="Average",CurMonthNum,1)</f>
        <v>45.94</v>
      </c>
      <c r="N8" s="9">
        <v>47.5</v>
      </c>
      <c r="O8" s="8" t="inlineStr">
        <is>
          <t xml:space="preserve">Pro-rated quarterly</t>
        </is>
      </c>
    </row>
    <row r="9">
      <c r="A9" s="8" t="inlineStr">
        <is>
          <t xml:space="preserve">EBITDA</t>
        </is>
      </c>
      <c r="B9" s="8" t="inlineStr">
        <is>
          <t xml:space="preserve">EBITDA ($MM)</t>
        </is>
      </c>
      <c r="C9" s="8"/>
      <c r="D9" s="8" t="inlineStr">
        <is>
          <t xml:space="preserve">Sum</t>
        </is>
      </c>
      <c r="E9" s="8" t="inlineStr">
        <is>
          <t xml:space="preserve">$</t>
        </is>
      </c>
      <c r="F9" s="8" t="inlineStr">
        <is>
          <t xml:space="preserve">MM</t>
        </is>
      </c>
      <c r="G9" s="8">
        <v>1</v>
      </c>
      <c r="H9" s="8" t="inlineStr">
        <is>
          <t xml:space="preserve">Higher</t>
        </is>
      </c>
      <c r="I9" s="8"/>
      <c r="J9" s="8" t="inlineStr">
        <is>
          <t xml:space="preserve">Y</t>
        </is>
      </c>
      <c r="K9" s="13">
        <f>IF($C9="",SUMIFS(INDEX(Charts!$E$2:$P$500,0,CurMonthNum),Charts!$A$2:$A$500,$B9,Charts!$C$2:$C$500,CurYear),SUMIFS(INDEX(Charts!$E$2:$P$500,0,CurMonthNum),Charts!$A$2:$A$500,$B9,Charts!$C$2:$C$500,CurYear,Charts!$B$2:$B$500,$C9))</f>
        <v>4.79</v>
      </c>
      <c r="L9" s="9">
        <v>5.1</v>
      </c>
      <c r="M9" s="13">
        <f>SUMPRODUCT((Charts!$A$2:$A$500=$B9)*(Charts!$C$2:$C$500=CurYear)*((($C9="")+(Charts!$B$2:$B$500=$C9))&gt;0)*(COLUMN(Charts!$E$1:$P$1)-COLUMN(Charts!$E$1)&lt;CurMonthNum),Charts!$E$2:$P$500)/IF($D9="Average",CurMonthNum,1)</f>
        <v>34.14</v>
      </c>
      <c r="N9" s="9">
        <v>36</v>
      </c>
      <c r="O9" s="8" t="inlineStr">
        <is>
          <t xml:space="preserve">Pro-rated annual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Status</t>
        </is>
      </c>
      <c r="B2" s="8" t="inlineStr">
        <is>
          <t xml:space="preserve">No forced outages, safety incidents, or environmental events.</t>
        </is>
      </c>
    </row>
    <row r="3">
      <c r="A3" s="8" t="inlineStr">
        <is>
          <t xml:space="preserve">Next event</t>
        </is>
      </c>
      <c r="B3" s="8" t="inlineStr">
        <is>
          <t xml:space="preserve">Major inspection, Unit 2: Nov. 3-14, 2026.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Balance</t>
        </is>
      </c>
      <c r="C1" s="1" t="inlineStr">
        <is>
          <t xml:space="preserve">MoM</t>
        </is>
      </c>
    </row>
    <row r="2">
      <c r="A2" s="8" t="inlineStr">
        <is>
          <t xml:space="preserve">Unrestricted cash</t>
        </is>
      </c>
      <c r="B2" s="8" t="inlineStr">
        <is>
          <t xml:space="preserve">$3.4MM</t>
        </is>
      </c>
      <c r="C2" s="8" t="inlineStr">
        <is>
          <t xml:space="preserve">-$0.6MM</t>
        </is>
      </c>
    </row>
    <row r="3">
      <c r="A3" s="8" t="inlineStr">
        <is>
          <t xml:space="preserve">O&amp;M reserve</t>
        </is>
      </c>
      <c r="B3" s="8" t="inlineStr">
        <is>
          <t xml:space="preserve">$4.10MM</t>
        </is>
      </c>
      <c r="C3" s="8" t="inlineStr">
        <is>
          <t xml:space="preserve">+$0.05MM</t>
        </is>
      </c>
    </row>
    <row r="4">
      <c r="A4" s="8" t="inlineStr">
        <is>
          <t xml:space="preserve">Debt service reserve</t>
        </is>
      </c>
      <c r="B4" s="8" t="inlineStr">
        <is>
          <t xml:space="preserve">$15.80MM</t>
        </is>
      </c>
      <c r="C4" s="8" t="inlineStr">
        <is>
          <t xml:space="preserve">Flat</t>
        </is>
      </c>
    </row>
    <row r="5">
      <c r="A5" s="8" t="inlineStr">
        <is>
          <t xml:space="preserve">Term loan</t>
        </is>
      </c>
      <c r="B5" s="8" t="inlineStr">
        <is>
          <t xml:space="preserve">$182.4MM</t>
        </is>
      </c>
      <c r="C5" s="8" t="inlineStr">
        <is>
          <t xml:space="preserve">-$1.8MM</t>
        </is>
      </c>
    </row>
    <row r="6">
      <c r="A6" s="8" t="inlineStr">
        <is>
          <t xml:space="preserve">Revolver</t>
        </is>
      </c>
      <c r="B6" s="8" t="inlineStr">
        <is>
          <t xml:space="preserve">$0.0MM</t>
        </is>
      </c>
      <c r="C6" s="8" t="inlineStr">
        <is>
          <t xml:space="preserve">Flat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29.48</v>
      </c>
      <c r="D2" s="10">
        <v>26.83</v>
      </c>
      <c r="E2" s="10">
        <v>34.92</v>
      </c>
      <c r="F2" s="10">
        <v>28.41</v>
      </c>
      <c r="G2" s="10">
        <v>30.12</v>
      </c>
      <c r="H2" s="10">
        <v>27.23</v>
      </c>
      <c r="I2" s="10">
        <v>35.64</v>
      </c>
      <c r="J2" s="10">
        <v>29.02</v>
      </c>
      <c r="K2" s="10">
        <v>31.27</v>
      </c>
      <c r="L2" s="10">
        <v>24.81</v>
      </c>
      <c r="M2" s="10">
        <v>36.1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9.02</v>
      </c>
      <c r="D4" s="10">
        <v>8.91</v>
      </c>
      <c r="E4" s="10">
        <v>10.08</v>
      </c>
      <c r="F4" s="10">
        <v>9.18</v>
      </c>
      <c r="G4" s="10">
        <v>9.51</v>
      </c>
      <c r="H4" s="10">
        <v>9.09</v>
      </c>
      <c r="I4" s="10">
        <v>10.42</v>
      </c>
      <c r="J4" s="10">
        <v>9.33</v>
      </c>
      <c r="K4" s="10">
        <v>9.61</v>
      </c>
      <c r="L4" s="10">
        <v>11.84</v>
      </c>
      <c r="M4" s="10">
        <v>10.55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1.65</v>
      </c>
      <c r="D5" s="10">
        <v>1.73</v>
      </c>
      <c r="E5" s="10">
        <v>1.85</v>
      </c>
      <c r="F5" s="10">
        <v>1.72</v>
      </c>
      <c r="G5" s="10">
        <v>1.68</v>
      </c>
      <c r="H5" s="10">
        <v>1.81</v>
      </c>
      <c r="I5" s="10">
        <v>1.93</v>
      </c>
      <c r="J5" s="10">
        <v>1.75</v>
      </c>
      <c r="K5" s="10">
        <v>1.72</v>
      </c>
      <c r="L5" s="10">
        <v>1.66</v>
      </c>
      <c r="M5" s="10">
        <v>1.95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IF(COUNT(C2:C3,C4:C5,C9:C12)=0,"",SUM(C4:C5))</f>
        <v>10.67</v>
      </c>
      <c r="D6" s="15">
        <f>IF(COUNT(D2:D3,D4:D5,D9:D12)=0,"",SUM(D4:D5))</f>
        <v>10.64</v>
      </c>
      <c r="E6" s="15">
        <f>IF(COUNT(E2:E3,E4:E5,E9:E12)=0,"",SUM(E4:E5))</f>
        <v>11.93</v>
      </c>
      <c r="F6" s="15">
        <f>IF(COUNT(F2:F3,F4:F5,F9:F12)=0,"",SUM(F4:F5))</f>
        <v>10.9</v>
      </c>
      <c r="G6" s="15">
        <f>IF(COUNT(G2:G3,G4:G5,G9:G12)=0,"",SUM(G4:G5))</f>
        <v>11.19</v>
      </c>
      <c r="H6" s="15">
        <f>IF(COUNT(H2:H3,H4:H5,H9:H12)=0,"",SUM(H4:H5))</f>
        <v>10.9</v>
      </c>
      <c r="I6" s="15">
        <f>IF(COUNT(I2:I3,I4:I5,I9:I12)=0,"",SUM(I4:I5))</f>
        <v>12.35</v>
      </c>
      <c r="J6" s="15">
        <f>IF(COUNT(J2:J3,J4:J5,J9:J12)=0,"",SUM(J4:J5))</f>
        <v>11.08</v>
      </c>
      <c r="K6" s="15">
        <f>IF(COUNT(K2:K3,K4:K5,K9:K12)=0,"",SUM(K4:K5))</f>
        <v>11.33</v>
      </c>
      <c r="L6" s="15">
        <f>IF(COUNT(L2:L3,L4:L5,L9:L12)=0,"",SUM(L4:L5))</f>
        <v>13.5</v>
      </c>
      <c r="M6" s="15">
        <f>IF(COUNT(M2:M3,M4:M5,M9:M12)=0,"",SUM(M4:M5))</f>
        <v>12.5</v>
      </c>
      <c r="N6" s="15" t="str">
        <f>IF(COUNT(N2:N3,N4:N5,N9:N12)=0,"",SUM(N4:N5))</f>
        <v/>
      </c>
      <c r="O6" s="15" t="str">
        <f>IF(COUNT(O2:O3,O4:O5,O9:O12)=0,"",SUM(O4:O5))</f>
        <v/>
      </c>
      <c r="P6" s="15" t="str">
        <f>IF(COUNT(P2:P3,P4:P5,P9:P12)=0,"",SUM(P4:P5))</f>
        <v/>
      </c>
      <c r="Q6" s="15" t="str">
        <f>IF(COUNT(Q2:Q3,Q4:Q5,Q9:Q12)=0,"",SUM(Q4:Q5))</f>
        <v/>
      </c>
      <c r="R6" s="15" t="str">
        <f>IF(COUNT(R2:R3,R4:R5,R9:R12)=0,"",SUM(R4:R5))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IF(COUNT(C2:C3,C4:C5,C9:C12)=0,"",SUM(C2:C3)-C6)</f>
        <v>18.81</v>
      </c>
      <c r="D7" s="15">
        <f>IF(COUNT(D2:D3,D4:D5,D9:D12)=0,"",SUM(D2:D3)-D6)</f>
        <v>16.19</v>
      </c>
      <c r="E7" s="15">
        <f>IF(COUNT(E2:E3,E4:E5,E9:E12)=0,"",SUM(E2:E3)-E6)</f>
        <v>22.99</v>
      </c>
      <c r="F7" s="15">
        <f>IF(COUNT(F2:F3,F4:F5,F9:F12)=0,"",SUM(F2:F3)-F6)</f>
        <v>17.51</v>
      </c>
      <c r="G7" s="15">
        <f>IF(COUNT(G2:G3,G4:G5,G9:G12)=0,"",SUM(G2:G3)-G6)</f>
        <v>18.93</v>
      </c>
      <c r="H7" s="15">
        <f>IF(COUNT(H2:H3,H4:H5,H9:H12)=0,"",SUM(H2:H3)-H6)</f>
        <v>16.33</v>
      </c>
      <c r="I7" s="15">
        <f>IF(COUNT(I2:I3,I4:I5,I9:I12)=0,"",SUM(I2:I3)-I6)</f>
        <v>23.29</v>
      </c>
      <c r="J7" s="15">
        <f>IF(COUNT(J2:J3,J4:J5,J9:J12)=0,"",SUM(J2:J3)-J6)</f>
        <v>17.94</v>
      </c>
      <c r="K7" s="15">
        <f>IF(COUNT(K2:K3,K4:K5,K9:K12)=0,"",SUM(K2:K3)-K6)</f>
        <v>19.94</v>
      </c>
      <c r="L7" s="15">
        <f>IF(COUNT(L2:L3,L4:L5,L9:L12)=0,"",SUM(L2:L3)-L6)</f>
        <v>11.31</v>
      </c>
      <c r="M7" s="15">
        <f>IF(COUNT(M2:M3,M4:M5,M9:M12)=0,"",SUM(M2:M3)-M6)</f>
        <v>23.6</v>
      </c>
      <c r="N7" s="15" t="str">
        <f>IF(COUNT(N2:N3,N4:N5,N9:N12)=0,"",SUM(N2:N3)-N6)</f>
        <v/>
      </c>
      <c r="O7" s="15" t="str">
        <f>IF(COUNT(O2:O3,O4:O5,O9:O12)=0,"",SUM(O2:O3)-O6)</f>
        <v/>
      </c>
      <c r="P7" s="15" t="str">
        <f>IF(COUNT(P2:P3,P4:P5,P9:P12)=0,"",SUM(P2:P3)-P6)</f>
        <v/>
      </c>
      <c r="Q7" s="15" t="str">
        <f>IF(COUNT(Q2:Q3,Q4:Q5,Q9:Q12)=0,"",SUM(Q2:Q3)-Q6)</f>
        <v/>
      </c>
      <c r="R7" s="15" t="str">
        <f>IF(COUNT(R2:R3,R4:R5,R9:R12)=0,"",SUM(R2:R3)-R6)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4.2</v>
      </c>
      <c r="D9" s="10">
        <v>4.3</v>
      </c>
      <c r="E9" s="10">
        <v>4.3</v>
      </c>
      <c r="F9" s="10">
        <v>4.4</v>
      </c>
      <c r="G9" s="10">
        <v>4.5</v>
      </c>
      <c r="H9" s="10">
        <v>4.6</v>
      </c>
      <c r="I9" s="10">
        <v>4.6</v>
      </c>
      <c r="J9" s="10">
        <v>4.7</v>
      </c>
      <c r="K9" s="10">
        <v>4.8</v>
      </c>
      <c r="L9" s="10">
        <v>4.9</v>
      </c>
      <c r="M9" s="10">
        <v>4.9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3.45</v>
      </c>
      <c r="D10" s="10">
        <v>3.4</v>
      </c>
      <c r="E10" s="10">
        <v>3.35</v>
      </c>
      <c r="F10" s="10">
        <v>3.31</v>
      </c>
      <c r="G10" s="10">
        <v>3.25</v>
      </c>
      <c r="H10" s="10">
        <v>3.2</v>
      </c>
      <c r="I10" s="10">
        <v>3.15</v>
      </c>
      <c r="J10" s="10">
        <v>3.1</v>
      </c>
      <c r="K10" s="10">
        <v>3.05</v>
      </c>
      <c r="L10" s="10">
        <v>3</v>
      </c>
      <c r="M10" s="10">
        <v>2.95</v>
      </c>
      <c r="N10" s="10"/>
      <c r="O10" s="10"/>
      <c r="P10" s="10"/>
      <c r="Q10" s="10"/>
      <c r="R10" s="10"/>
    </row>
    <row r="11">
      <c r="A11" s="8" t="inlineStr">
        <is>
          <t xml:space="preserve">Interest rate swap settlements</t>
        </is>
      </c>
      <c r="B11" s="8" t="inlineStr">
        <is>
          <t xml:space="preserve">Debt service</t>
        </is>
      </c>
      <c r="C11" s="10">
        <v>0.15</v>
      </c>
      <c r="D11" s="10">
        <v>0.13</v>
      </c>
      <c r="E11" s="10">
        <v>0.11</v>
      </c>
      <c r="F11" s="10">
        <v>0.09</v>
      </c>
      <c r="G11" s="10">
        <v>0.06</v>
      </c>
      <c r="H11" s="10">
        <v>0.04</v>
      </c>
      <c r="I11" s="10">
        <v>0.02</v>
      </c>
      <c r="J11" s="10">
        <v>-0.01</v>
      </c>
      <c r="K11" s="10">
        <v>-0.03</v>
      </c>
      <c r="L11" s="10">
        <v>-0.05</v>
      </c>
      <c r="M11" s="10">
        <v>-0.04</v>
      </c>
      <c r="N11" s="10"/>
      <c r="O11" s="10"/>
      <c r="P11" s="10"/>
      <c r="Q11" s="10"/>
      <c r="R11" s="10"/>
    </row>
    <row r="12">
      <c r="A12" s="8" t="inlineStr">
        <is>
          <t xml:space="preserve">Agency fees</t>
        </is>
      </c>
      <c r="B12" s="8" t="inlineStr">
        <is>
          <t xml:space="preserve">Debt service</t>
        </is>
      </c>
      <c r="C12" s="10">
        <v>0.04</v>
      </c>
      <c r="D12" s="10">
        <v>0.04</v>
      </c>
      <c r="E12" s="10">
        <v>0.04</v>
      </c>
      <c r="F12" s="10">
        <v>0.04</v>
      </c>
      <c r="G12" s="10">
        <v>0.04</v>
      </c>
      <c r="H12" s="10">
        <v>0.04</v>
      </c>
      <c r="I12" s="10">
        <v>0.04</v>
      </c>
      <c r="J12" s="10">
        <v>0.04</v>
      </c>
      <c r="K12" s="10">
        <v>0.04</v>
      </c>
      <c r="L12" s="10">
        <v>0.04</v>
      </c>
      <c r="M12" s="10">
        <v>0.04</v>
      </c>
      <c r="N12" s="10"/>
      <c r="O12" s="10"/>
      <c r="P12" s="10"/>
      <c r="Q12" s="10"/>
      <c r="R12" s="10"/>
    </row>
    <row r="13">
      <c r="A13" s="6" t="inlineStr">
        <is>
          <t xml:space="preserve">Total debt service costs</t>
        </is>
      </c>
      <c r="B13" s="2" t="inlineStr">
        <is>
          <t xml:space="preserve">Calculated</t>
        </is>
      </c>
      <c r="C13" s="15">
        <f>IF(COUNT(C2:C3,C4:C5,C9:C12)=0,"",SUM(C9:C12))</f>
        <v>7.84</v>
      </c>
      <c r="D13" s="15">
        <f>IF(COUNT(D2:D3,D4:D5,D9:D12)=0,"",SUM(D9:D12))</f>
        <v>7.87</v>
      </c>
      <c r="E13" s="15">
        <f>IF(COUNT(E2:E3,E4:E5,E9:E12)=0,"",SUM(E9:E12))</f>
        <v>7.8</v>
      </c>
      <c r="F13" s="15">
        <f>IF(COUNT(F2:F3,F4:F5,F9:F12)=0,"",SUM(F9:F12))</f>
        <v>7.84</v>
      </c>
      <c r="G13" s="15">
        <f>IF(COUNT(G2:G3,G4:G5,G9:G12)=0,"",SUM(G9:G12))</f>
        <v>7.85</v>
      </c>
      <c r="H13" s="15">
        <f>IF(COUNT(H2:H3,H4:H5,H9:H12)=0,"",SUM(H9:H12))</f>
        <v>7.88</v>
      </c>
      <c r="I13" s="15">
        <f>IF(COUNT(I2:I3,I4:I5,I9:I12)=0,"",SUM(I9:I12))</f>
        <v>7.81</v>
      </c>
      <c r="J13" s="15">
        <f>IF(COUNT(J2:J3,J4:J5,J9:J12)=0,"",SUM(J9:J12))</f>
        <v>7.83</v>
      </c>
      <c r="K13" s="15">
        <f>IF(COUNT(K2:K3,K4:K5,K9:K12)=0,"",SUM(K9:K12))</f>
        <v>7.86</v>
      </c>
      <c r="L13" s="15">
        <f>IF(COUNT(L2:L3,L4:L5,L9:L12)=0,"",SUM(L9:L12))</f>
        <v>7.89</v>
      </c>
      <c r="M13" s="15">
        <f>IF(COUNT(M2:M3,M4:M5,M9:M12)=0,"",SUM(M9:M12))</f>
        <v>7.85</v>
      </c>
      <c r="N13" s="15" t="str">
        <f>IF(COUNT(N2:N3,N4:N5,N9:N12)=0,"",SUM(N9:N12))</f>
        <v/>
      </c>
      <c r="O13" s="15" t="str">
        <f>IF(COUNT(O2:O3,O4:O5,O9:O12)=0,"",SUM(O9:O12))</f>
        <v/>
      </c>
      <c r="P13" s="15" t="str">
        <f>IF(COUNT(P2:P3,P4:P5,P9:P12)=0,"",SUM(P9:P12))</f>
        <v/>
      </c>
      <c r="Q13" s="15" t="str">
        <f>IF(COUNT(Q2:Q3,Q4:Q5,Q9:Q12)=0,"",SUM(Q9:Q12))</f>
        <v/>
      </c>
      <c r="R13" s="15" t="str">
        <f>IF(COUNT(R2:R3,R4:R5,R9:R12)=0,"",SUM(R9:R12))</f>
        <v/>
      </c>
    </row>
    <row r="14"/>
    <row r="15">
      <c r="A15" s="6" t="inlineStr">
        <is>
          <t xml:space="preserve">DSCR - quarter</t>
        </is>
      </c>
      <c r="B15" s="2" t="inlineStr">
        <is>
          <t xml:space="preserve">Calculated</t>
        </is>
      </c>
      <c r="C15" s="16">
        <f>IFERROR(C7/C13,"")</f>
        <v>2.399235</v>
      </c>
      <c r="D15" s="16">
        <f>IFERROR(D7/D13,"")</f>
        <v>2.057179</v>
      </c>
      <c r="E15" s="16">
        <f>IFERROR(E7/E13,"")</f>
        <v>2.947436</v>
      </c>
      <c r="F15" s="16">
        <f>IFERROR(F7/F13,"")</f>
        <v>2.233418</v>
      </c>
      <c r="G15" s="16">
        <f>IFERROR(G7/G13,"")</f>
        <v>2.411465</v>
      </c>
      <c r="H15" s="16">
        <f>IFERROR(H7/H13,"")</f>
        <v>2.072335</v>
      </c>
      <c r="I15" s="16">
        <f>IFERROR(I7/I13,"")</f>
        <v>2.982074</v>
      </c>
      <c r="J15" s="16">
        <f>IFERROR(J7/J13,"")</f>
        <v>2.291188</v>
      </c>
      <c r="K15" s="16">
        <f>IFERROR(K7/K13,"")</f>
        <v>2.536896</v>
      </c>
      <c r="L15" s="16">
        <f>IFERROR(L7/L13,"")</f>
        <v>1.43346</v>
      </c>
      <c r="M15" s="16">
        <f>IFERROR(M7/M13,"")</f>
        <v>3.006369</v>
      </c>
      <c r="N15" s="16" t="str">
        <f>IFERROR(N7/N13,"")</f>
        <v/>
      </c>
      <c r="O15" s="16" t="str">
        <f>IFERROR(O7/O13,"")</f>
        <v/>
      </c>
      <c r="P15" s="16" t="str">
        <f>IFERROR(P7/P13,"")</f>
        <v/>
      </c>
      <c r="Q15" s="16" t="str">
        <f>IFERROR(Q7/Q13,"")</f>
        <v/>
      </c>
      <c r="R15" s="16" t="str">
        <f>IFERROR(R7/R13,"")</f>
        <v/>
      </c>
    </row>
    <row r="16">
      <c r="A16" s="6" t="inlineStr">
        <is>
          <t xml:space="preserve">DSCR - LTM</t>
        </is>
      </c>
      <c r="B16" s="2" t="inlineStr">
        <is>
          <t xml:space="preserve">Calculated</t>
        </is>
      </c>
      <c r="C16" s="16" t="str">
        <f>""</f>
        <v/>
      </c>
      <c r="D16" s="16" t="str">
        <f>""</f>
        <v/>
      </c>
      <c r="E16" s="16" t="str">
        <f>""</f>
        <v/>
      </c>
      <c r="F16" s="16">
        <f>IF(COUNT(C7:F7)&lt;4,"",IFERROR(SUM(C7:F7)/SUM(C13:F13),""))</f>
        <v>2.408293</v>
      </c>
      <c r="G16" s="16">
        <f>IF(COUNT(D7:G7)&lt;4,"",IFERROR(SUM(D7:G7)/SUM(D13:G13),""))</f>
        <v>2.411352</v>
      </c>
      <c r="H16" s="16">
        <f>IF(COUNT(E7:H7)&lt;4,"",IFERROR(SUM(E7:H7)/SUM(E13:H13),""))</f>
        <v>2.415046</v>
      </c>
      <c r="I16" s="16">
        <f>IF(COUNT(F7:I7)&lt;4,"",IFERROR(SUM(F7:I7)/SUM(F13:I13),""))</f>
        <v>2.423837</v>
      </c>
      <c r="J16" s="16">
        <f>IF(COUNT(G7:J7)&lt;4,"",IFERROR(SUM(G7:J7)/SUM(G13:J13),""))</f>
        <v>2.438317</v>
      </c>
      <c r="K16" s="16">
        <f>IF(COUNT(H7:K7)&lt;4,"",IFERROR(SUM(H7:K7)/SUM(H13:K13),""))</f>
        <v>2.469726</v>
      </c>
      <c r="L16" s="16">
        <f>IF(COUNT(I7:L7)&lt;4,"",IFERROR(SUM(I7:L7)/SUM(I13:L13),""))</f>
        <v>2.309016</v>
      </c>
      <c r="M16" s="16">
        <f>IF(COUNT(J7:M7)&lt;4,"",IFERROR(SUM(J7:M7)/SUM(J13:M13),""))</f>
        <v>2.31594</v>
      </c>
      <c r="N16" s="16" t="str">
        <f>IF(COUNT(K7:N7)&lt;4,"",IFERROR(SUM(K7:N7)/SUM(K13:N13),""))</f>
        <v/>
      </c>
      <c r="O16" s="16" t="str">
        <f>IF(COUNT(L7:O7)&lt;4,"",IFERROR(SUM(L7:O7)/SUM(L13:O13),""))</f>
        <v/>
      </c>
      <c r="P16" s="16" t="str">
        <f>IF(COUNT(M7:P7)&lt;4,"",IFERROR(SUM(M7:P7)/SUM(M13:P13),""))</f>
        <v/>
      </c>
      <c r="Q16" s="16" t="str">
        <f>IF(COUNT(N7:Q7)&lt;4,"",IFERROR(SUM(N7:Q7)/SUM(N13:Q13),""))</f>
        <v/>
      </c>
      <c r="R16" s="16" t="str">
        <f>IF(COUNT(O7:R7)&lt;4,"",IFERROR(SUM(O7:R7)/SUM(O13:R13),""))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15.8</v>
      </c>
      <c r="C2" s="10">
        <v>15.8</v>
      </c>
    </row>
    <row r="3">
      <c r="A3" s="8" t="inlineStr">
        <is>
          <t xml:space="preserve">O&amp;M reserve</t>
        </is>
      </c>
      <c r="B3" s="10">
        <v>4.1</v>
      </c>
      <c r="C3" s="10">
        <v>4.1</v>
      </c>
    </row>
    <row r="4">
      <c r="A4" s="8" t="inlineStr">
        <is>
          <t xml:space="preserve">Major maintenance reserve</t>
        </is>
      </c>
      <c r="B4" s="10">
        <v>6</v>
      </c>
      <c r="C4" s="10">
        <v>5.2</v>
      </c>
    </row>
    <row r="5">
      <c r="A5" s="8"/>
      <c r="B5" s="10"/>
      <c r="C5" s="10"/>
    </row>
    <row r="6">
      <c r="A6" s="8"/>
      <c r="B6" s="10"/>
      <c r="C6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Q2 2026</t>
        </is>
      </c>
      <c r="B2" s="8" t="inlineStr">
        <is>
          <t xml:space="preserve">The April planned outage on Unit 1 reduced revenue and added O&amp;M; LTM coverage stays well above lock-up.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