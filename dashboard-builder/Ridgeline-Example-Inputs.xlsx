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29.48</v>
      </c>
      <c r="D2" s="10">
        <v>26.83</v>
      </c>
      <c r="E2" s="10">
        <v>34.92</v>
      </c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9.02</v>
      </c>
      <c r="D4" s="10">
        <v>8.91</v>
      </c>
      <c r="E4" s="10">
        <v>10.08</v>
      </c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taxes</t>
        </is>
      </c>
      <c r="B5" s="8" t="inlineStr">
        <is>
          <t xml:space="preserve">Expense</t>
        </is>
      </c>
      <c r="C5" s="10">
        <v>1.15</v>
      </c>
      <c r="D5" s="10">
        <v>1.15</v>
      </c>
      <c r="E5" s="10">
        <v>1.15</v>
      </c>
      <c r="F5" s="10">
        <v>1.2</v>
      </c>
      <c r="G5" s="10">
        <v>1.2</v>
      </c>
      <c r="H5" s="10">
        <v>1.2</v>
      </c>
      <c r="I5" s="10">
        <v>1.2</v>
      </c>
      <c r="J5" s="10">
        <v>1.25</v>
      </c>
      <c r="K5" s="10">
        <v>1.25</v>
      </c>
      <c r="L5" s="10">
        <v>1.25</v>
      </c>
      <c r="M5" s="10">
        <v>1.25</v>
      </c>
      <c r="N5" s="10"/>
      <c r="O5" s="10"/>
      <c r="P5" s="10"/>
      <c r="Q5" s="10"/>
      <c r="R5" s="10"/>
    </row>
    <row r="6">
      <c r="A6" s="8" t="inlineStr">
        <is>
          <t xml:space="preserve">Other taxes</t>
        </is>
      </c>
      <c r="B6" s="8" t="inlineStr">
        <is>
          <t xml:space="preserve">Expense</t>
        </is>
      </c>
      <c r="C6" s="10">
        <v>0.5</v>
      </c>
      <c r="D6" s="10">
        <v>0.58</v>
      </c>
      <c r="E6" s="10">
        <v>0.7</v>
      </c>
      <c r="F6" s="10">
        <v>0.52</v>
      </c>
      <c r="G6" s="10">
        <v>0.48</v>
      </c>
      <c r="H6" s="10">
        <v>0.61</v>
      </c>
      <c r="I6" s="10">
        <v>0.73</v>
      </c>
      <c r="J6" s="10">
        <v>0.5</v>
      </c>
      <c r="K6" s="10">
        <v>0.47</v>
      </c>
      <c r="L6" s="10">
        <v>0.41</v>
      </c>
      <c r="M6" s="10">
        <v>0.7</v>
      </c>
      <c r="N6" s="10"/>
      <c r="O6" s="10"/>
      <c r="P6" s="10"/>
      <c r="Q6" s="10"/>
      <c r="R6" s="10"/>
    </row>
    <row r="7">
      <c r="A7" s="6" t="inlineStr">
        <is>
          <t xml:space="preserve">Total O&amp;M costs</t>
        </is>
      </c>
      <c r="B7" s="2" t="inlineStr">
        <is>
          <t xml:space="preserve">Calculated</t>
        </is>
      </c>
      <c r="C7" s="15">
        <f>IF(COUNT(C2:C3,C4:C6,C10:C11)=0,"",SUM(C4:C6))</f>
        <v>10.67</v>
      </c>
      <c r="D7" s="15">
        <f>IF(COUNT(D2:D3,D4:D6,D10:D11)=0,"",SUM(D4:D6))</f>
        <v>10.64</v>
      </c>
      <c r="E7" s="15">
        <f>IF(COUNT(E2:E3,E4:E6,E10:E11)=0,"",SUM(E4:E6))</f>
        <v>11.93</v>
      </c>
      <c r="F7" s="15">
        <f>IF(COUNT(F2:F3,F4:F6,F10:F11)=0,"",SUM(F4:F6))</f>
        <v>10.9</v>
      </c>
      <c r="G7" s="15">
        <f>IF(COUNT(G2:G3,G4:G6,G10:G11)=0,"",SUM(G4:G6))</f>
        <v>11.19</v>
      </c>
      <c r="H7" s="15">
        <f>IF(COUNT(H2:H3,H4:H6,H10:H11)=0,"",SUM(H4:H6))</f>
        <v>10.9</v>
      </c>
      <c r="I7" s="15">
        <f>IF(COUNT(I2:I3,I4:I6,I10:I11)=0,"",SUM(I4:I6))</f>
        <v>12.35</v>
      </c>
      <c r="J7" s="15">
        <f>IF(COUNT(J2:J3,J4:J6,J10:J11)=0,"",SUM(J4:J6))</f>
        <v>11.08</v>
      </c>
      <c r="K7" s="15">
        <f>IF(COUNT(K2:K3,K4:K6,K10:K11)=0,"",SUM(K4:K6))</f>
        <v>11.33</v>
      </c>
      <c r="L7" s="15">
        <f>IF(COUNT(L2:L3,L4:L6,L10:L11)=0,"",SUM(L4:L6))</f>
        <v>13.5</v>
      </c>
      <c r="M7" s="15">
        <f>IF(COUNT(M2:M3,M4:M6,M10:M11)=0,"",SUM(M4:M6))</f>
        <v>12.5</v>
      </c>
      <c r="N7" s="15" t="str">
        <f>IF(COUNT(N2:N3,N4:N6,N10:N11)=0,"",SUM(N4:N6))</f>
        <v/>
      </c>
      <c r="O7" s="15" t="str">
        <f>IF(COUNT(O2:O3,O4:O6,O10:O11)=0,"",SUM(O4:O6))</f>
        <v/>
      </c>
      <c r="P7" s="15" t="str">
        <f>IF(COUNT(P2:P3,P4:P6,P10:P11)=0,"",SUM(P4:P6))</f>
        <v/>
      </c>
      <c r="Q7" s="15" t="str">
        <f>IF(COUNT(Q2:Q3,Q4:Q6,Q10:Q11)=0,"",SUM(Q4:Q6))</f>
        <v/>
      </c>
      <c r="R7" s="15" t="str">
        <f>IF(COUNT(R2:R3,R4:R6,R10:R11)=0,"",SUM(R4:R6))</f>
        <v/>
      </c>
    </row>
    <row r="8">
      <c r="A8" s="6" t="inlineStr">
        <is>
          <t xml:space="preserve">CFADS</t>
        </is>
      </c>
      <c r="B8" s="2" t="inlineStr">
        <is>
          <t xml:space="preserve">Calculated</t>
        </is>
      </c>
      <c r="C8" s="15">
        <f>IF(COUNT(C2:C3,C4:C6,C10:C11)=0,"",SUM(C2:C3)-C7)</f>
        <v>18.81</v>
      </c>
      <c r="D8" s="15">
        <f>IF(COUNT(D2:D3,D4:D6,D10:D11)=0,"",SUM(D2:D3)-D7)</f>
        <v>16.19</v>
      </c>
      <c r="E8" s="15">
        <f>IF(COUNT(E2:E3,E4:E6,E10:E11)=0,"",SUM(E2:E3)-E7)</f>
        <v>22.99</v>
      </c>
      <c r="F8" s="15">
        <f>IF(COUNT(F2:F3,F4:F6,F10:F11)=0,"",SUM(F2:F3)-F7)</f>
        <v>17.51</v>
      </c>
      <c r="G8" s="15">
        <f>IF(COUNT(G2:G3,G4:G6,G10:G11)=0,"",SUM(G2:G3)-G7)</f>
        <v>18.93</v>
      </c>
      <c r="H8" s="15">
        <f>IF(COUNT(H2:H3,H4:H6,H10:H11)=0,"",SUM(H2:H3)-H7)</f>
        <v>16.33</v>
      </c>
      <c r="I8" s="15">
        <f>IF(COUNT(I2:I3,I4:I6,I10:I11)=0,"",SUM(I2:I3)-I7)</f>
        <v>23.29</v>
      </c>
      <c r="J8" s="15">
        <f>IF(COUNT(J2:J3,J4:J6,J10:J11)=0,"",SUM(J2:J3)-J7)</f>
        <v>17.94</v>
      </c>
      <c r="K8" s="15">
        <f>IF(COUNT(K2:K3,K4:K6,K10:K11)=0,"",SUM(K2:K3)-K7)</f>
        <v>19.94</v>
      </c>
      <c r="L8" s="15">
        <f>IF(COUNT(L2:L3,L4:L6,L10:L11)=0,"",SUM(L2:L3)-L7)</f>
        <v>11.31</v>
      </c>
      <c r="M8" s="15">
        <f>IF(COUNT(M2:M3,M4:M6,M10:M11)=0,"",SUM(M2:M3)-M7)</f>
        <v>23.6</v>
      </c>
      <c r="N8" s="15" t="str">
        <f>IF(COUNT(N2:N3,N4:N6,N10:N11)=0,"",SUM(N2:N3)-N7)</f>
        <v/>
      </c>
      <c r="O8" s="15" t="str">
        <f>IF(COUNT(O2:O3,O4:O6,O10:O11)=0,"",SUM(O2:O3)-O7)</f>
        <v/>
      </c>
      <c r="P8" s="15" t="str">
        <f>IF(COUNT(P2:P3,P4:P6,P10:P11)=0,"",SUM(P2:P3)-P7)</f>
        <v/>
      </c>
      <c r="Q8" s="15" t="str">
        <f>IF(COUNT(Q2:Q3,Q4:Q6,Q10:Q11)=0,"",SUM(Q2:Q3)-Q7)</f>
        <v/>
      </c>
      <c r="R8" s="15" t="str">
        <f>IF(COUNT(R2:R3,R4:R6,R10:R11)=0,"",SUM(R2:R3)-R7)</f>
        <v/>
      </c>
    </row>
    <row r="9"/>
    <row r="10">
      <c r="A10" s="8" t="inlineStr">
        <is>
          <t xml:space="preserve">Principal</t>
        </is>
      </c>
      <c r="B10" s="8" t="inlineStr">
        <is>
          <t xml:space="preserve">Debt service</t>
        </is>
      </c>
      <c r="C10" s="10">
        <v>4.2</v>
      </c>
      <c r="D10" s="10">
        <v>4.3</v>
      </c>
      <c r="E10" s="10">
        <v>4.3</v>
      </c>
      <c r="F10" s="10">
        <v>4.4</v>
      </c>
      <c r="G10" s="10">
        <v>4.5</v>
      </c>
      <c r="H10" s="10">
        <v>4.6</v>
      </c>
      <c r="I10" s="10">
        <v>4.6</v>
      </c>
      <c r="J10" s="10">
        <v>4.7</v>
      </c>
      <c r="K10" s="10">
        <v>4.8</v>
      </c>
      <c r="L10" s="10">
        <v>4.9</v>
      </c>
      <c r="M10" s="10">
        <v>4.9</v>
      </c>
      <c r="N10" s="10"/>
      <c r="O10" s="10"/>
      <c r="P10" s="10"/>
      <c r="Q10" s="10"/>
      <c r="R10" s="10"/>
    </row>
    <row r="11">
      <c r="A11" s="8" t="inlineStr">
        <is>
          <t xml:space="preserve">Interest</t>
        </is>
      </c>
      <c r="B11" s="8" t="inlineStr">
        <is>
          <t xml:space="preserve">Debt service</t>
        </is>
      </c>
      <c r="C11" s="10">
        <v>3.45</v>
      </c>
      <c r="D11" s="10">
        <v>3.4</v>
      </c>
      <c r="E11" s="10">
        <v>3.35</v>
      </c>
      <c r="F11" s="10">
        <v>3.31</v>
      </c>
      <c r="G11" s="10">
        <v>3.25</v>
      </c>
      <c r="H11" s="10">
        <v>3.2</v>
      </c>
      <c r="I11" s="10">
        <v>3.15</v>
      </c>
      <c r="J11" s="10">
        <v>3.1</v>
      </c>
      <c r="K11" s="10">
        <v>3.05</v>
      </c>
      <c r="L11" s="10">
        <v>3</v>
      </c>
      <c r="M11" s="10">
        <v>2.95</v>
      </c>
      <c r="N11" s="10"/>
      <c r="O11" s="10"/>
      <c r="P11" s="10"/>
      <c r="Q11" s="10"/>
      <c r="R11" s="10"/>
    </row>
    <row r="12">
      <c r="A12" s="6" t="inlineStr">
        <is>
          <t xml:space="preserve">Total debt service costs</t>
        </is>
      </c>
      <c r="B12" s="2" t="inlineStr">
        <is>
          <t xml:space="preserve">Calculated</t>
        </is>
      </c>
      <c r="C12" s="15">
        <f>IF(COUNT(C2:C3,C4:C6,C10:C11)=0,"",SUM(C10:C11))</f>
        <v>7.65</v>
      </c>
      <c r="D12" s="15">
        <f>IF(COUNT(D2:D3,D4:D6,D10:D11)=0,"",SUM(D10:D11))</f>
        <v>7.7</v>
      </c>
      <c r="E12" s="15">
        <f>IF(COUNT(E2:E3,E4:E6,E10:E11)=0,"",SUM(E10:E11))</f>
        <v>7.65</v>
      </c>
      <c r="F12" s="15">
        <f>IF(COUNT(F2:F3,F4:F6,F10:F11)=0,"",SUM(F10:F11))</f>
        <v>7.71</v>
      </c>
      <c r="G12" s="15">
        <f>IF(COUNT(G2:G3,G4:G6,G10:G11)=0,"",SUM(G10:G11))</f>
        <v>7.75</v>
      </c>
      <c r="H12" s="15">
        <f>IF(COUNT(H2:H3,H4:H6,H10:H11)=0,"",SUM(H10:H11))</f>
        <v>7.8</v>
      </c>
      <c r="I12" s="15">
        <f>IF(COUNT(I2:I3,I4:I6,I10:I11)=0,"",SUM(I10:I11))</f>
        <v>7.75</v>
      </c>
      <c r="J12" s="15">
        <f>IF(COUNT(J2:J3,J4:J6,J10:J11)=0,"",SUM(J10:J11))</f>
        <v>7.8</v>
      </c>
      <c r="K12" s="15">
        <f>IF(COUNT(K2:K3,K4:K6,K10:K11)=0,"",SUM(K10:K11))</f>
        <v>7.85</v>
      </c>
      <c r="L12" s="15">
        <f>IF(COUNT(L2:L3,L4:L6,L10:L11)=0,"",SUM(L10:L11))</f>
        <v>7.9</v>
      </c>
      <c r="M12" s="15">
        <f>IF(COUNT(M2:M3,M4:M6,M10:M11)=0,"",SUM(M10:M11))</f>
        <v>7.85</v>
      </c>
      <c r="N12" s="15" t="str">
        <f>IF(COUNT(N2:N3,N4:N6,N10:N11)=0,"",SUM(N10:N11))</f>
        <v/>
      </c>
      <c r="O12" s="15" t="str">
        <f>IF(COUNT(O2:O3,O4:O6,O10:O11)=0,"",SUM(O10:O11))</f>
        <v/>
      </c>
      <c r="P12" s="15" t="str">
        <f>IF(COUNT(P2:P3,P4:P6,P10:P11)=0,"",SUM(P10:P11))</f>
        <v/>
      </c>
      <c r="Q12" s="15" t="str">
        <f>IF(COUNT(Q2:Q3,Q4:Q6,Q10:Q11)=0,"",SUM(Q10:Q11))</f>
        <v/>
      </c>
      <c r="R12" s="15" t="str">
        <f>IF(COUNT(R2:R3,R4:R6,R10:R11)=0,"",SUM(R10:R11))</f>
        <v/>
      </c>
    </row>
    <row r="13"/>
    <row r="14">
      <c r="A14" s="6" t="inlineStr">
        <is>
          <t xml:space="preserve">DSCR - quarter</t>
        </is>
      </c>
      <c r="B14" s="2" t="inlineStr">
        <is>
          <t xml:space="preserve">Calculated</t>
        </is>
      </c>
      <c r="C14" s="16">
        <f>IFERROR(C8/C12,"")</f>
        <v>2.458824</v>
      </c>
      <c r="D14" s="16">
        <f>IFERROR(D8/D12,"")</f>
        <v>2.102597</v>
      </c>
      <c r="E14" s="16">
        <f>IFERROR(E8/E12,"")</f>
        <v>3.005229</v>
      </c>
      <c r="F14" s="16">
        <f>IFERROR(F8/F12,"")</f>
        <v>2.271077</v>
      </c>
      <c r="G14" s="16">
        <f>IFERROR(G8/G12,"")</f>
        <v>2.442581</v>
      </c>
      <c r="H14" s="16">
        <f>IFERROR(H8/H12,"")</f>
        <v>2.09359</v>
      </c>
      <c r="I14" s="16">
        <f>IFERROR(I8/I12,"")</f>
        <v>3.005161</v>
      </c>
      <c r="J14" s="16">
        <f>IFERROR(J8/J12,"")</f>
        <v>2.3</v>
      </c>
      <c r="K14" s="16">
        <f>IFERROR(K8/K12,"")</f>
        <v>2.540127</v>
      </c>
      <c r="L14" s="16">
        <f>IFERROR(L8/L12,"")</f>
        <v>1.431646</v>
      </c>
      <c r="M14" s="16">
        <f>IFERROR(M8/M12,"")</f>
        <v>3.006369</v>
      </c>
      <c r="N14" s="16" t="str">
        <f>IFERROR(N8/N12,"")</f>
        <v/>
      </c>
      <c r="O14" s="16" t="str">
        <f>IFERROR(O8/O12,"")</f>
        <v/>
      </c>
      <c r="P14" s="16" t="str">
        <f>IFERROR(P8/P12,"")</f>
        <v/>
      </c>
      <c r="Q14" s="16" t="str">
        <f>IFERROR(Q8/Q12,"")</f>
        <v/>
      </c>
      <c r="R14" s="16" t="str">
        <f>IFERROR(R8/R12,"")</f>
        <v/>
      </c>
    </row>
    <row r="15">
      <c r="A15" s="6" t="inlineStr">
        <is>
          <t xml:space="preserve">DSCR - LTM</t>
        </is>
      </c>
      <c r="B15" s="2" t="inlineStr">
        <is>
          <t xml:space="preserve">Calculated</t>
        </is>
      </c>
      <c r="C15" s="16" t="str">
        <f>""</f>
        <v/>
      </c>
      <c r="D15" s="16" t="str">
        <f>""</f>
        <v/>
      </c>
      <c r="E15" s="16" t="str">
        <f>""</f>
        <v/>
      </c>
      <c r="F15" s="16">
        <f>IF(COUNT(C8:F8)&lt;4,"",IFERROR(SUM(C8:F8)/SUM(C12:F12),""))</f>
        <v>2.458483</v>
      </c>
      <c r="G15" s="16">
        <f>IF(COUNT(D8:G8)&lt;4,"",IFERROR(SUM(D8:G8)/SUM(D12:G12),""))</f>
        <v>2.454398</v>
      </c>
      <c r="H15" s="16">
        <f>IF(COUNT(E8:H8)&lt;4,"",IFERROR(SUM(E8:H8)/SUM(E12:H12),""))</f>
        <v>2.450987</v>
      </c>
      <c r="I15" s="16">
        <f>IF(COUNT(F8:I8)&lt;4,"",IFERROR(SUM(F8:I8)/SUM(F12:I12),""))</f>
        <v>2.452757</v>
      </c>
      <c r="J15" s="16">
        <f>IF(COUNT(G8:J8)&lt;4,"",IFERROR(SUM(G8:J8)/SUM(G12:J12),""))</f>
        <v>2.459486</v>
      </c>
      <c r="K15" s="16">
        <f>IF(COUNT(H8:K8)&lt;4,"",IFERROR(SUM(H8:K8)/SUM(H12:K12),""))</f>
        <v>2.483974</v>
      </c>
      <c r="L15" s="16">
        <f>IF(COUNT(I8:L8)&lt;4,"",IFERROR(SUM(I8:L8)/SUM(I12:L12),""))</f>
        <v>2.315655</v>
      </c>
      <c r="M15" s="16">
        <f>IF(COUNT(J8:M8)&lt;4,"",IFERROR(SUM(J8:M8)/SUM(J12:M12),""))</f>
        <v>2.318153</v>
      </c>
      <c r="N15" s="16" t="str">
        <f>IF(COUNT(K8:N8)&lt;4,"",IFERROR(SUM(K8:N8)/SUM(K12:N12),""))</f>
        <v/>
      </c>
      <c r="O15" s="16" t="str">
        <f>IF(COUNT(L8:O8)&lt;4,"",IFERROR(SUM(L8:O8)/SUM(L12:O12),""))</f>
        <v/>
      </c>
      <c r="P15" s="16" t="str">
        <f>IF(COUNT(M8:P8)&lt;4,"",IFERROR(SUM(M8:P8)/SUM(M12:P12),""))</f>
        <v/>
      </c>
      <c r="Q15" s="16" t="str">
        <f>IF(COUNT(N8:Q8)&lt;4,"",IFERROR(SUM(N8:Q8)/SUM(N12:Q12),""))</f>
        <v/>
      </c>
      <c r="R15" s="16" t="str">
        <f>IF(COUNT(O8:R8)&lt;4,"",IFERROR(SUM(O8:R8)/SUM(O12:R12),""))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